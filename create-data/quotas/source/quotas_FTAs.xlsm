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bb054eeb7f64a9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tt.admin/projects/tariffs/create-data/quotas/source/"/>
    </mc:Choice>
  </mc:AlternateContent>
  <xr:revisionPtr revIDLastSave="0" documentId="13_ncr:1_{8D42719A-9250-2345-9185-56E8222B99CD}" xr6:coauthVersionLast="43" xr6:coauthVersionMax="43" xr10:uidLastSave="{00000000-0000-0000-0000-000000000000}"/>
  <bookViews>
    <workbookView xWindow="0" yWindow="460" windowWidth="16760" windowHeight="19440" activeTab="2" xr2:uid="{FAFA429A-22FD-4363-9A49-B0FC0F670430}"/>
  </bookViews>
  <sheets>
    <sheet name="Order numbers" sheetId="1" r:id="rId1"/>
    <sheet name="Definitions" sheetId="2" r:id="rId2"/>
    <sheet name="Commodities" sheetId="4" r:id="rId3"/>
    <sheet name="Lookups" sheetId="3" r:id="rId4"/>
  </sheets>
  <functionGroups builtInGroupCount="19"/>
  <definedNames>
    <definedName name="_xlnm._FilterDatabase" localSheetId="2" hidden="1">Commodities!$A$1:$J$804</definedName>
    <definedName name="_xlnm._FilterDatabase" localSheetId="1" hidden="1">Definitions!$A$1:$P$438</definedName>
    <definedName name="_xlnm._FilterDatabase" localSheetId="0" hidden="1">'Order numbers'!$A$1:$I$221</definedName>
    <definedName name="measure_types">Lookups!$C$2:$C$5</definedName>
    <definedName name="measurement_unit_qualifiers">Lookups!$B$2:$B$19</definedName>
    <definedName name="measurement_units">Lookups!$A$2:$A$43</definedName>
    <definedName name="quota_order_numbers">'Order numbers'!$A:$A</definedName>
    <definedName name="quota_order_numbers2">'Order numbers'!$A:$H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252" i="2" l="1"/>
  <c r="J805" i="4" l="1"/>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C1070" i="4"/>
  <c r="C1071" i="4"/>
  <c r="C1072" i="4"/>
  <c r="C1073" i="4"/>
  <c r="C1074" i="4"/>
  <c r="C1075" i="4"/>
  <c r="C1076" i="4"/>
  <c r="C1077" i="4"/>
  <c r="C1078" i="4"/>
  <c r="C1079" i="4"/>
  <c r="C1080" i="4"/>
  <c r="C1081" i="4"/>
  <c r="C1082" i="4"/>
  <c r="C1083" i="4"/>
  <c r="C1084" i="4"/>
  <c r="C1085" i="4"/>
  <c r="C1086" i="4"/>
  <c r="C1049" i="4"/>
  <c r="C1050" i="4"/>
  <c r="C1051" i="4"/>
  <c r="C1052" i="4"/>
  <c r="C1053" i="4"/>
  <c r="C1054" i="4"/>
  <c r="C1055" i="4"/>
  <c r="C1056" i="4"/>
  <c r="C1057" i="4"/>
  <c r="C1058" i="4"/>
  <c r="C1059" i="4"/>
  <c r="C1060" i="4"/>
  <c r="C1061" i="4"/>
  <c r="C1062" i="4"/>
  <c r="C1063" i="4"/>
  <c r="C1064" i="4"/>
  <c r="C1065" i="4"/>
  <c r="C1066" i="4"/>
  <c r="C1067" i="4"/>
  <c r="C1068" i="4"/>
  <c r="C1069"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795" i="4"/>
  <c r="C676" i="4"/>
  <c r="C675" i="4"/>
  <c r="C674" i="4"/>
  <c r="C673" i="4"/>
  <c r="J3" i="4"/>
  <c r="J2" i="4"/>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6" i="4"/>
  <c r="C797" i="4"/>
  <c r="C798" i="4"/>
  <c r="C799" i="4"/>
  <c r="C800" i="4"/>
  <c r="C801" i="4"/>
  <c r="C802" i="4"/>
  <c r="C803" i="4"/>
  <c r="C804" i="4"/>
  <c r="C2" i="4"/>
  <c r="P438" i="2"/>
  <c r="F438" i="2"/>
  <c r="C438" i="2"/>
  <c r="B438" i="2"/>
  <c r="P437" i="2"/>
  <c r="F437" i="2"/>
  <c r="C437" i="2"/>
  <c r="B437" i="2"/>
  <c r="P436" i="2"/>
  <c r="F436" i="2"/>
  <c r="C436" i="2"/>
  <c r="B436" i="2"/>
  <c r="P435" i="2"/>
  <c r="F435" i="2"/>
  <c r="C435" i="2"/>
  <c r="B435" i="2"/>
  <c r="P434" i="2"/>
  <c r="F434" i="2"/>
  <c r="C434" i="2"/>
  <c r="B434" i="2"/>
  <c r="P433" i="2"/>
  <c r="F433" i="2"/>
  <c r="C433" i="2"/>
  <c r="B433" i="2"/>
  <c r="P432" i="2"/>
  <c r="F432" i="2"/>
  <c r="C432" i="2"/>
  <c r="B432" i="2"/>
  <c r="P431" i="2"/>
  <c r="F431" i="2"/>
  <c r="C431" i="2"/>
  <c r="B431" i="2"/>
  <c r="P430" i="2"/>
  <c r="F430" i="2"/>
  <c r="C430" i="2"/>
  <c r="B430" i="2"/>
  <c r="P429" i="2"/>
  <c r="F429" i="2"/>
  <c r="C429" i="2"/>
  <c r="B429" i="2"/>
  <c r="P428" i="2"/>
  <c r="F428" i="2"/>
  <c r="C428" i="2"/>
  <c r="B428" i="2"/>
  <c r="P427" i="2"/>
  <c r="F427" i="2"/>
  <c r="C427" i="2"/>
  <c r="B427" i="2"/>
  <c r="P426" i="2"/>
  <c r="F426" i="2"/>
  <c r="C426" i="2"/>
  <c r="B426" i="2"/>
  <c r="P425" i="2"/>
  <c r="F425" i="2"/>
  <c r="C425" i="2"/>
  <c r="B425" i="2"/>
  <c r="P424" i="2"/>
  <c r="F424" i="2"/>
  <c r="C424" i="2"/>
  <c r="B424" i="2"/>
  <c r="P423" i="2"/>
  <c r="F423" i="2"/>
  <c r="C423" i="2"/>
  <c r="B423" i="2"/>
  <c r="P422" i="2"/>
  <c r="F422" i="2"/>
  <c r="C422" i="2"/>
  <c r="B422" i="2"/>
  <c r="P421" i="2"/>
  <c r="F421" i="2"/>
  <c r="C421" i="2"/>
  <c r="B421" i="2"/>
  <c r="P420" i="2"/>
  <c r="F420" i="2"/>
  <c r="C420" i="2"/>
  <c r="B420" i="2"/>
  <c r="P419" i="2"/>
  <c r="F419" i="2"/>
  <c r="C419" i="2"/>
  <c r="B419" i="2"/>
  <c r="P418" i="2"/>
  <c r="F418" i="2"/>
  <c r="C418" i="2"/>
  <c r="B418" i="2"/>
  <c r="P417" i="2"/>
  <c r="F417" i="2"/>
  <c r="C417" i="2"/>
  <c r="B417" i="2"/>
  <c r="P416" i="2"/>
  <c r="F416" i="2"/>
  <c r="C416" i="2"/>
  <c r="B416" i="2"/>
  <c r="P415" i="2"/>
  <c r="F415" i="2"/>
  <c r="C415" i="2"/>
  <c r="B415" i="2"/>
  <c r="P414" i="2"/>
  <c r="F414" i="2"/>
  <c r="C414" i="2"/>
  <c r="B414" i="2"/>
  <c r="P413" i="2"/>
  <c r="F413" i="2"/>
  <c r="C413" i="2"/>
  <c r="B413" i="2"/>
  <c r="P412" i="2"/>
  <c r="F412" i="2"/>
  <c r="C412" i="2"/>
  <c r="B412" i="2"/>
  <c r="P411" i="2"/>
  <c r="F411" i="2"/>
  <c r="C411" i="2"/>
  <c r="B411" i="2"/>
  <c r="P410" i="2"/>
  <c r="F410" i="2"/>
  <c r="C410" i="2"/>
  <c r="B410" i="2"/>
  <c r="P409" i="2"/>
  <c r="F409" i="2"/>
  <c r="C409" i="2"/>
  <c r="B409" i="2"/>
  <c r="P408" i="2"/>
  <c r="F408" i="2"/>
  <c r="C408" i="2"/>
  <c r="B408" i="2"/>
  <c r="P407" i="2"/>
  <c r="F407" i="2"/>
  <c r="C407" i="2"/>
  <c r="B407" i="2"/>
  <c r="P406" i="2"/>
  <c r="F406" i="2"/>
  <c r="C406" i="2"/>
  <c r="B406" i="2"/>
  <c r="P405" i="2"/>
  <c r="F405" i="2"/>
  <c r="C405" i="2"/>
  <c r="B405" i="2"/>
  <c r="P404" i="2"/>
  <c r="F404" i="2"/>
  <c r="C404" i="2"/>
  <c r="B404" i="2"/>
  <c r="P403" i="2"/>
  <c r="F403" i="2"/>
  <c r="C403" i="2"/>
  <c r="B403" i="2"/>
  <c r="P402" i="2"/>
  <c r="F402" i="2"/>
  <c r="C402" i="2"/>
  <c r="B402" i="2"/>
  <c r="P401" i="2"/>
  <c r="F401" i="2"/>
  <c r="C401" i="2"/>
  <c r="B401" i="2"/>
  <c r="P400" i="2"/>
  <c r="F400" i="2"/>
  <c r="C400" i="2"/>
  <c r="B400" i="2"/>
  <c r="P399" i="2"/>
  <c r="F399" i="2"/>
  <c r="C399" i="2"/>
  <c r="B399" i="2"/>
  <c r="P398" i="2"/>
  <c r="F398" i="2"/>
  <c r="C398" i="2"/>
  <c r="B398" i="2"/>
  <c r="P397" i="2"/>
  <c r="F397" i="2"/>
  <c r="C397" i="2"/>
  <c r="B397" i="2"/>
  <c r="P396" i="2"/>
  <c r="F396" i="2"/>
  <c r="C396" i="2"/>
  <c r="B396" i="2"/>
  <c r="P395" i="2"/>
  <c r="F395" i="2"/>
  <c r="C395" i="2"/>
  <c r="B395" i="2"/>
  <c r="P394" i="2"/>
  <c r="F394" i="2"/>
  <c r="C394" i="2"/>
  <c r="B394" i="2"/>
  <c r="P393" i="2"/>
  <c r="F393" i="2"/>
  <c r="C393" i="2"/>
  <c r="B393" i="2"/>
  <c r="P392" i="2"/>
  <c r="F392" i="2"/>
  <c r="C392" i="2"/>
  <c r="B392" i="2"/>
  <c r="P391" i="2"/>
  <c r="F391" i="2"/>
  <c r="C391" i="2"/>
  <c r="B391" i="2"/>
  <c r="P390" i="2"/>
  <c r="F390" i="2"/>
  <c r="C390" i="2"/>
  <c r="B390" i="2"/>
  <c r="P389" i="2"/>
  <c r="F389" i="2"/>
  <c r="C389" i="2"/>
  <c r="B389" i="2"/>
  <c r="P388" i="2"/>
  <c r="F388" i="2"/>
  <c r="C388" i="2"/>
  <c r="B388" i="2"/>
  <c r="P387" i="2"/>
  <c r="F387" i="2"/>
  <c r="C387" i="2"/>
  <c r="B387" i="2"/>
  <c r="P386" i="2"/>
  <c r="F386" i="2"/>
  <c r="C386" i="2"/>
  <c r="B386" i="2"/>
  <c r="P385" i="2"/>
  <c r="F385" i="2"/>
  <c r="C385" i="2"/>
  <c r="B385" i="2"/>
  <c r="P384" i="2"/>
  <c r="F384" i="2"/>
  <c r="C384" i="2"/>
  <c r="B384" i="2"/>
  <c r="P383" i="2"/>
  <c r="F383" i="2"/>
  <c r="C383" i="2"/>
  <c r="B383" i="2"/>
  <c r="P382" i="2"/>
  <c r="F382" i="2"/>
  <c r="C382" i="2"/>
  <c r="B382" i="2"/>
  <c r="P381" i="2"/>
  <c r="F381" i="2"/>
  <c r="C381" i="2"/>
  <c r="B381" i="2"/>
  <c r="P380" i="2"/>
  <c r="F380" i="2"/>
  <c r="C380" i="2"/>
  <c r="B380" i="2"/>
  <c r="P379" i="2"/>
  <c r="F379" i="2"/>
  <c r="C379" i="2"/>
  <c r="B379" i="2"/>
  <c r="P378" i="2"/>
  <c r="F378" i="2"/>
  <c r="C378" i="2"/>
  <c r="B378" i="2"/>
  <c r="P377" i="2"/>
  <c r="F377" i="2"/>
  <c r="C377" i="2"/>
  <c r="B377" i="2"/>
  <c r="P376" i="2"/>
  <c r="F376" i="2"/>
  <c r="C376" i="2"/>
  <c r="B376" i="2"/>
  <c r="P375" i="2"/>
  <c r="F375" i="2"/>
  <c r="C375" i="2"/>
  <c r="B375" i="2"/>
  <c r="P374" i="2"/>
  <c r="F374" i="2"/>
  <c r="C374" i="2"/>
  <c r="B374" i="2"/>
  <c r="P373" i="2"/>
  <c r="F373" i="2"/>
  <c r="C373" i="2"/>
  <c r="B373" i="2"/>
  <c r="P372" i="2"/>
  <c r="F372" i="2"/>
  <c r="C372" i="2"/>
  <c r="B372" i="2"/>
  <c r="P371" i="2"/>
  <c r="F371" i="2"/>
  <c r="C371" i="2"/>
  <c r="B371" i="2"/>
  <c r="P370" i="2"/>
  <c r="F370" i="2"/>
  <c r="C370" i="2"/>
  <c r="B370" i="2"/>
  <c r="P369" i="2"/>
  <c r="F369" i="2"/>
  <c r="C369" i="2"/>
  <c r="B369" i="2"/>
  <c r="P368" i="2"/>
  <c r="F368" i="2"/>
  <c r="C368" i="2"/>
  <c r="B368" i="2"/>
  <c r="P367" i="2"/>
  <c r="F367" i="2"/>
  <c r="C367" i="2"/>
  <c r="B367" i="2"/>
  <c r="P366" i="2"/>
  <c r="F366" i="2"/>
  <c r="C366" i="2"/>
  <c r="B366" i="2"/>
  <c r="P365" i="2"/>
  <c r="F365" i="2"/>
  <c r="C365" i="2"/>
  <c r="B365" i="2"/>
  <c r="P364" i="2"/>
  <c r="F364" i="2"/>
  <c r="C364" i="2"/>
  <c r="B364" i="2"/>
  <c r="P363" i="2"/>
  <c r="F363" i="2"/>
  <c r="C363" i="2"/>
  <c r="B363" i="2"/>
  <c r="P362" i="2"/>
  <c r="F362" i="2"/>
  <c r="C362" i="2"/>
  <c r="B362" i="2"/>
  <c r="P361" i="2"/>
  <c r="F361" i="2"/>
  <c r="C361" i="2"/>
  <c r="B361" i="2"/>
  <c r="P360" i="2"/>
  <c r="F360" i="2"/>
  <c r="C360" i="2"/>
  <c r="B360" i="2"/>
  <c r="P359" i="2"/>
  <c r="F359" i="2"/>
  <c r="C359" i="2"/>
  <c r="B359" i="2"/>
  <c r="P358" i="2"/>
  <c r="F358" i="2"/>
  <c r="C358" i="2"/>
  <c r="B358" i="2"/>
  <c r="P357" i="2"/>
  <c r="F357" i="2"/>
  <c r="C357" i="2"/>
  <c r="B357" i="2"/>
  <c r="P356" i="2"/>
  <c r="F356" i="2"/>
  <c r="C356" i="2"/>
  <c r="B356" i="2"/>
  <c r="F355" i="2"/>
  <c r="C355" i="2"/>
  <c r="B355" i="2"/>
  <c r="P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P354" i="2"/>
  <c r="C354" i="2"/>
  <c r="B354" i="2"/>
  <c r="P353" i="2"/>
  <c r="C353" i="2"/>
  <c r="B353" i="2"/>
  <c r="P352" i="2"/>
  <c r="C352" i="2"/>
  <c r="B352" i="2"/>
  <c r="P351" i="2"/>
  <c r="C351" i="2"/>
  <c r="B351" i="2"/>
  <c r="P350" i="2"/>
  <c r="C350" i="2"/>
  <c r="B350" i="2"/>
  <c r="P349" i="2"/>
  <c r="C349" i="2"/>
  <c r="B349" i="2"/>
  <c r="P348" i="2"/>
  <c r="C348" i="2"/>
  <c r="B348" i="2"/>
  <c r="P347" i="2"/>
  <c r="C347" i="2"/>
  <c r="B347" i="2"/>
  <c r="P346" i="2"/>
  <c r="C346" i="2"/>
  <c r="B346" i="2"/>
  <c r="P345" i="2"/>
  <c r="C345" i="2"/>
  <c r="B345" i="2"/>
  <c r="P344" i="2"/>
  <c r="C344" i="2"/>
  <c r="B344" i="2"/>
  <c r="P343" i="2"/>
  <c r="C343" i="2"/>
  <c r="B343" i="2"/>
  <c r="P342" i="2"/>
  <c r="C342" i="2"/>
  <c r="B342" i="2"/>
  <c r="P341" i="2"/>
  <c r="C341" i="2"/>
  <c r="B341" i="2"/>
  <c r="P340" i="2"/>
  <c r="C340" i="2"/>
  <c r="B340" i="2"/>
  <c r="P339" i="2"/>
  <c r="C339" i="2"/>
  <c r="B339" i="2"/>
  <c r="P338" i="2"/>
  <c r="C338" i="2"/>
  <c r="B338" i="2"/>
  <c r="P337" i="2"/>
  <c r="C337" i="2"/>
  <c r="B337" i="2"/>
  <c r="P336" i="2"/>
  <c r="C336" i="2"/>
  <c r="B336" i="2"/>
  <c r="P335" i="2"/>
  <c r="C335" i="2"/>
  <c r="B335" i="2"/>
  <c r="C334" i="2"/>
  <c r="B334" i="2"/>
  <c r="C333" i="2"/>
  <c r="B333" i="2"/>
  <c r="C332" i="2"/>
  <c r="B332" i="2"/>
  <c r="C331" i="2"/>
  <c r="B331" i="2"/>
  <c r="C330" i="2"/>
  <c r="B330" i="2"/>
  <c r="C329" i="2"/>
  <c r="B329" i="2"/>
  <c r="C328" i="2"/>
  <c r="B328" i="2"/>
  <c r="C327" i="2"/>
  <c r="B327" i="2"/>
  <c r="C326" i="2"/>
  <c r="B326" i="2"/>
  <c r="C325" i="2"/>
  <c r="B325" i="2"/>
  <c r="C324" i="2"/>
  <c r="B324" i="2"/>
  <c r="C323" i="2"/>
  <c r="B323" i="2"/>
  <c r="C322" i="2"/>
  <c r="B322" i="2"/>
  <c r="C321" i="2"/>
  <c r="B321" i="2"/>
  <c r="C320" i="2"/>
  <c r="B320" i="2"/>
  <c r="C319" i="2"/>
  <c r="B319" i="2"/>
  <c r="C318" i="2"/>
  <c r="B318" i="2"/>
  <c r="C317" i="2"/>
  <c r="B317" i="2"/>
  <c r="C316" i="2"/>
  <c r="B316" i="2"/>
  <c r="P334" i="2"/>
  <c r="P333" i="2"/>
  <c r="P332" i="2"/>
  <c r="P331" i="2"/>
  <c r="P330" i="2"/>
  <c r="P329" i="2"/>
  <c r="P328" i="2"/>
  <c r="P327" i="2"/>
  <c r="P326" i="2"/>
  <c r="P325" i="2"/>
  <c r="P324" i="2"/>
  <c r="P323" i="2"/>
  <c r="P322" i="2"/>
  <c r="P321" i="2"/>
  <c r="P320" i="2"/>
  <c r="P319" i="2"/>
  <c r="P318" i="2"/>
  <c r="P317" i="2"/>
  <c r="P316" i="2"/>
  <c r="C315" i="2"/>
  <c r="B315" i="2"/>
  <c r="P315" i="2"/>
  <c r="F314" i="2" l="1"/>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C314" i="2"/>
  <c r="B314" i="2"/>
  <c r="C313" i="2"/>
  <c r="B313" i="2"/>
  <c r="C312" i="2"/>
  <c r="B312" i="2"/>
  <c r="C311" i="2"/>
  <c r="B311" i="2"/>
  <c r="C310" i="2"/>
  <c r="B310" i="2"/>
  <c r="C309" i="2"/>
  <c r="B309" i="2"/>
  <c r="C308" i="2"/>
  <c r="B308" i="2"/>
  <c r="C307" i="2"/>
  <c r="B307" i="2"/>
  <c r="C306" i="2"/>
  <c r="B306" i="2"/>
  <c r="C305" i="2"/>
  <c r="B305" i="2"/>
  <c r="C304" i="2"/>
  <c r="B304" i="2"/>
  <c r="C303" i="2"/>
  <c r="B303" i="2"/>
  <c r="C302" i="2"/>
  <c r="B302" i="2"/>
  <c r="C301" i="2"/>
  <c r="B301" i="2"/>
  <c r="C300" i="2"/>
  <c r="B300" i="2"/>
  <c r="C299" i="2"/>
  <c r="B299" i="2"/>
  <c r="C298" i="2"/>
  <c r="B298" i="2"/>
  <c r="C297" i="2"/>
  <c r="B297" i="2"/>
  <c r="C296" i="2"/>
  <c r="B296" i="2"/>
  <c r="C295" i="2"/>
  <c r="B295" i="2"/>
  <c r="C294" i="2"/>
  <c r="B294" i="2"/>
  <c r="C293" i="2"/>
  <c r="B293" i="2"/>
  <c r="C292" i="2"/>
  <c r="B292" i="2"/>
  <c r="C291" i="2"/>
  <c r="B291" i="2"/>
  <c r="C290" i="2"/>
  <c r="B290" i="2"/>
  <c r="C289" i="2"/>
  <c r="B289" i="2"/>
  <c r="C288" i="2"/>
  <c r="B288" i="2"/>
  <c r="C287" i="2"/>
  <c r="B287" i="2"/>
  <c r="C286" i="2"/>
  <c r="B286" i="2"/>
  <c r="C285" i="2"/>
  <c r="B285" i="2"/>
  <c r="C284" i="2"/>
  <c r="B284" i="2"/>
  <c r="C283" i="2"/>
  <c r="B283" i="2"/>
  <c r="C282" i="2"/>
  <c r="B282" i="2"/>
  <c r="C281" i="2"/>
  <c r="B281" i="2"/>
  <c r="C280" i="2"/>
  <c r="B280" i="2"/>
  <c r="C279" i="2"/>
  <c r="B279" i="2"/>
  <c r="C278" i="2"/>
  <c r="B278" i="2"/>
  <c r="C277" i="2"/>
  <c r="B277" i="2"/>
  <c r="C276" i="2"/>
  <c r="B276" i="2"/>
  <c r="C275" i="2"/>
  <c r="B275" i="2"/>
  <c r="C274" i="2"/>
  <c r="B274" i="2"/>
  <c r="C273" i="2"/>
  <c r="B273" i="2"/>
  <c r="C272" i="2"/>
  <c r="B272" i="2"/>
  <c r="C271" i="2"/>
  <c r="B271" i="2"/>
  <c r="F245" i="2"/>
  <c r="F252" i="2"/>
  <c r="P252" i="2"/>
  <c r="C252" i="2"/>
  <c r="B252" i="2"/>
  <c r="F238" i="2"/>
  <c r="F214" i="2"/>
  <c r="P238" i="2"/>
  <c r="C238" i="2"/>
  <c r="B238" i="2"/>
  <c r="P185" i="2"/>
  <c r="F185" i="2"/>
  <c r="C185" i="2"/>
  <c r="B185" i="2"/>
  <c r="P184" i="2"/>
  <c r="F184" i="2"/>
  <c r="C184" i="2"/>
  <c r="B184" i="2"/>
  <c r="F154" i="2"/>
  <c r="F153" i="2"/>
  <c r="F101" i="2"/>
  <c r="F83" i="2"/>
  <c r="P101" i="2"/>
  <c r="P83" i="2"/>
  <c r="C83" i="2"/>
  <c r="B101" i="2"/>
  <c r="B83" i="2"/>
  <c r="C101"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4" i="2"/>
  <c r="C85" i="2"/>
  <c r="C86" i="2"/>
  <c r="C87" i="2"/>
  <c r="C88" i="2"/>
  <c r="C89" i="2"/>
  <c r="C90" i="2"/>
  <c r="C91" i="2"/>
  <c r="C92" i="2"/>
  <c r="C93" i="2"/>
  <c r="C94" i="2"/>
  <c r="C95" i="2"/>
  <c r="C96" i="2"/>
  <c r="C97" i="2"/>
  <c r="C98" i="2"/>
  <c r="C99" i="2"/>
  <c r="C100"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9" i="2"/>
  <c r="C240" i="2"/>
  <c r="C241" i="2"/>
  <c r="C242" i="2"/>
  <c r="C243" i="2"/>
  <c r="C244" i="2"/>
  <c r="C245" i="2"/>
  <c r="C246" i="2"/>
  <c r="C247" i="2"/>
  <c r="C248" i="2"/>
  <c r="C249" i="2"/>
  <c r="C250" i="2"/>
  <c r="C251" i="2"/>
  <c r="C253" i="2"/>
  <c r="C254" i="2"/>
  <c r="C255" i="2"/>
  <c r="C256" i="2"/>
  <c r="C257" i="2"/>
  <c r="C258" i="2"/>
  <c r="C259" i="2"/>
  <c r="C260" i="2"/>
  <c r="C261" i="2"/>
  <c r="C262" i="2"/>
  <c r="C263" i="2"/>
  <c r="C264" i="2"/>
  <c r="C265" i="2"/>
  <c r="C266" i="2"/>
  <c r="C267" i="2"/>
  <c r="C268" i="2"/>
  <c r="C269" i="2"/>
  <c r="C270" i="2"/>
  <c r="C2" i="2"/>
  <c r="P69" i="2"/>
  <c r="P68" i="2"/>
  <c r="P67" i="2"/>
  <c r="P66" i="2"/>
  <c r="P65" i="2"/>
  <c r="P64" i="2"/>
  <c r="P63" i="2"/>
  <c r="P62" i="2"/>
  <c r="P61" i="2"/>
  <c r="P60" i="2"/>
  <c r="P59" i="2"/>
  <c r="P58" i="2"/>
  <c r="P57" i="2"/>
  <c r="P56" i="2"/>
  <c r="P55" i="2"/>
  <c r="P54" i="2"/>
  <c r="P34" i="2"/>
  <c r="P33" i="2"/>
  <c r="P32" i="2"/>
  <c r="P31" i="2"/>
  <c r="F65" i="2"/>
  <c r="B65" i="2"/>
  <c r="F64" i="2"/>
  <c r="B64" i="2"/>
  <c r="F63" i="2"/>
  <c r="B63" i="2"/>
  <c r="F33" i="2"/>
  <c r="F32" i="2"/>
  <c r="F31" i="2"/>
  <c r="B33" i="2"/>
  <c r="B32" i="2"/>
  <c r="B31" i="2"/>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5" i="2"/>
  <c r="P36" i="2"/>
  <c r="P37" i="2"/>
  <c r="P38" i="2"/>
  <c r="P39" i="2"/>
  <c r="P40" i="2"/>
  <c r="P41" i="2"/>
  <c r="P42" i="2"/>
  <c r="P43" i="2"/>
  <c r="P44" i="2"/>
  <c r="P45" i="2"/>
  <c r="P46" i="2"/>
  <c r="P47" i="2"/>
  <c r="P48" i="2"/>
  <c r="P49" i="2"/>
  <c r="P50" i="2"/>
  <c r="P51" i="2"/>
  <c r="P52" i="2"/>
  <c r="P53" i="2"/>
  <c r="P70" i="2"/>
  <c r="P71" i="2"/>
  <c r="P72" i="2"/>
  <c r="P73" i="2"/>
  <c r="P74" i="2"/>
  <c r="P75" i="2"/>
  <c r="P76" i="2"/>
  <c r="P77" i="2"/>
  <c r="P78" i="2"/>
  <c r="P79" i="2"/>
  <c r="P80" i="2"/>
  <c r="P81" i="2"/>
  <c r="P82" i="2"/>
  <c r="P84" i="2"/>
  <c r="P85" i="2"/>
  <c r="P86" i="2"/>
  <c r="P87" i="2"/>
  <c r="P88" i="2"/>
  <c r="P89" i="2"/>
  <c r="P90" i="2"/>
  <c r="P91" i="2"/>
  <c r="P92" i="2"/>
  <c r="P93" i="2"/>
  <c r="P94" i="2"/>
  <c r="P95" i="2"/>
  <c r="P96" i="2"/>
  <c r="P97" i="2"/>
  <c r="P98" i="2"/>
  <c r="P99" i="2"/>
  <c r="P100"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9" i="2"/>
  <c r="P240" i="2"/>
  <c r="P241" i="2"/>
  <c r="P242" i="2"/>
  <c r="P243" i="2"/>
  <c r="P244" i="2"/>
  <c r="P245" i="2"/>
  <c r="P246" i="2"/>
  <c r="P247" i="2"/>
  <c r="P248" i="2"/>
  <c r="P249" i="2"/>
  <c r="P250" i="2"/>
  <c r="P251" i="2"/>
  <c r="P253" i="2"/>
  <c r="P254" i="2"/>
  <c r="P255" i="2"/>
  <c r="P256" i="2"/>
  <c r="P257" i="2"/>
  <c r="P258" i="2"/>
  <c r="P259" i="2"/>
  <c r="P260" i="2"/>
  <c r="P261" i="2"/>
  <c r="P262" i="2"/>
  <c r="P263" i="2"/>
  <c r="P264" i="2"/>
  <c r="P265" i="2"/>
  <c r="P266" i="2"/>
  <c r="P267" i="2"/>
  <c r="P268" i="2"/>
  <c r="P269" i="2"/>
  <c r="P270" i="2"/>
  <c r="P2" i="2"/>
  <c r="D220" i="1" l="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F270" i="2"/>
  <c r="B270" i="2"/>
  <c r="F269" i="2"/>
  <c r="B269" i="2"/>
  <c r="F268" i="2"/>
  <c r="B268" i="2"/>
  <c r="F267" i="2"/>
  <c r="B267" i="2"/>
  <c r="F266" i="2"/>
  <c r="B266" i="2"/>
  <c r="F265" i="2"/>
  <c r="B265" i="2"/>
  <c r="F264" i="2"/>
  <c r="B264" i="2"/>
  <c r="F263" i="2"/>
  <c r="B263" i="2"/>
  <c r="F262" i="2"/>
  <c r="B262" i="2"/>
  <c r="B261" i="2"/>
  <c r="B260" i="2"/>
  <c r="B259" i="2"/>
  <c r="B258" i="2"/>
  <c r="B257" i="2"/>
  <c r="B256" i="2"/>
  <c r="B255" i="2"/>
  <c r="B254" i="2"/>
  <c r="B253" i="2"/>
  <c r="B251" i="2"/>
  <c r="B250" i="2"/>
  <c r="B249" i="2"/>
  <c r="B248" i="2"/>
  <c r="B247" i="2"/>
  <c r="B246" i="2"/>
  <c r="B245" i="2"/>
  <c r="B244" i="2"/>
  <c r="B243" i="2"/>
  <c r="B242" i="2"/>
  <c r="B241" i="2"/>
  <c r="B240" i="2"/>
  <c r="B239" i="2"/>
  <c r="F261" i="2"/>
  <c r="F260" i="2"/>
  <c r="F259" i="2"/>
  <c r="F258" i="2"/>
  <c r="F257" i="2"/>
  <c r="F256" i="2"/>
  <c r="F255" i="2"/>
  <c r="F254" i="2"/>
  <c r="F253" i="2"/>
  <c r="D136" i="1"/>
  <c r="D135" i="1"/>
  <c r="D134" i="1"/>
  <c r="D133" i="1"/>
  <c r="D132" i="1"/>
  <c r="D131" i="1"/>
  <c r="D130" i="1"/>
  <c r="D129" i="1"/>
  <c r="D128" i="1"/>
  <c r="F239" i="2"/>
  <c r="F240" i="2"/>
  <c r="F241" i="2"/>
  <c r="F242" i="2"/>
  <c r="F243" i="2"/>
  <c r="F244" i="2"/>
  <c r="F246" i="2"/>
  <c r="F247" i="2"/>
  <c r="F248" i="2"/>
  <c r="F249" i="2"/>
  <c r="F250" i="2"/>
  <c r="F251" i="2"/>
  <c r="D127" i="1"/>
  <c r="D126" i="1"/>
  <c r="D125" i="1"/>
  <c r="D124" i="1"/>
  <c r="D123" i="1"/>
  <c r="D122" i="1"/>
  <c r="D121" i="1"/>
  <c r="F237" i="2"/>
  <c r="F236" i="2"/>
  <c r="F235" i="2"/>
  <c r="F234" i="2"/>
  <c r="F233" i="2"/>
  <c r="F232" i="2"/>
  <c r="F231" i="2"/>
  <c r="F230" i="2"/>
  <c r="F229" i="2"/>
  <c r="F228" i="2"/>
  <c r="F227" i="2"/>
  <c r="F226" i="2"/>
  <c r="F225" i="2"/>
  <c r="F224" i="2"/>
  <c r="F223" i="2"/>
  <c r="F222" i="2"/>
  <c r="F221" i="2"/>
  <c r="F220" i="2"/>
  <c r="F219" i="2"/>
  <c r="F218" i="2"/>
  <c r="F217" i="2"/>
  <c r="F216" i="2"/>
  <c r="F215" i="2"/>
  <c r="F213" i="2"/>
  <c r="F212" i="2"/>
  <c r="F211" i="2"/>
  <c r="F210" i="2"/>
  <c r="F209" i="2"/>
  <c r="F208" i="2"/>
  <c r="F207" i="2"/>
  <c r="F206" i="2"/>
  <c r="F205" i="2"/>
  <c r="F204" i="2"/>
  <c r="F203" i="2"/>
  <c r="F202" i="2"/>
  <c r="F201" i="2"/>
  <c r="F200" i="2"/>
  <c r="F199" i="2"/>
  <c r="F198" i="2"/>
  <c r="F197" i="2"/>
  <c r="F196" i="2"/>
  <c r="F195" i="2"/>
  <c r="F194" i="2"/>
  <c r="F193" i="2"/>
  <c r="F192" i="2"/>
  <c r="F191" i="2"/>
  <c r="F190"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D120" i="1"/>
  <c r="D119" i="1"/>
  <c r="D118" i="1"/>
  <c r="D117" i="1"/>
  <c r="D116" i="1"/>
  <c r="D115" i="1"/>
  <c r="D114" i="1"/>
  <c r="D113" i="1"/>
  <c r="D112" i="1"/>
  <c r="D111" i="1"/>
  <c r="D110" i="1"/>
  <c r="D109" i="1"/>
  <c r="D108" i="1"/>
  <c r="D107" i="1"/>
  <c r="D106" i="1"/>
  <c r="D105" i="1"/>
  <c r="D104" i="1"/>
  <c r="D103" i="1"/>
  <c r="D102" i="1"/>
  <c r="D101" i="1"/>
  <c r="D100" i="1"/>
  <c r="D99" i="1"/>
  <c r="D98" i="1"/>
  <c r="D97" i="1"/>
  <c r="D96" i="1"/>
  <c r="F189" i="2"/>
  <c r="F188" i="2"/>
  <c r="F187" i="2"/>
  <c r="F186" i="2"/>
  <c r="B189" i="2"/>
  <c r="B188" i="2"/>
  <c r="B187" i="2"/>
  <c r="B186" i="2"/>
  <c r="D95" i="1"/>
  <c r="D94" i="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6" i="2"/>
  <c r="F67" i="2"/>
  <c r="F68" i="2"/>
  <c r="F69" i="2"/>
  <c r="F70" i="2"/>
  <c r="F71" i="2"/>
  <c r="F72" i="2"/>
  <c r="F73" i="2"/>
  <c r="F74" i="2"/>
  <c r="F75" i="2"/>
  <c r="F76" i="2"/>
  <c r="F77" i="2"/>
  <c r="F78" i="2"/>
  <c r="F79" i="2"/>
  <c r="F80" i="2"/>
  <c r="F81" i="2"/>
  <c r="F82" i="2"/>
  <c r="F84" i="2"/>
  <c r="F85" i="2"/>
  <c r="F86" i="2"/>
  <c r="F87" i="2"/>
  <c r="F88" i="2"/>
  <c r="F89" i="2"/>
  <c r="F90" i="2"/>
  <c r="F91" i="2"/>
  <c r="F92" i="2"/>
  <c r="F93" i="2"/>
  <c r="F94" i="2"/>
  <c r="F95" i="2"/>
  <c r="F96" i="2"/>
  <c r="F97" i="2"/>
  <c r="F98" i="2"/>
  <c r="F99" i="2"/>
  <c r="F100"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2" i="2"/>
  <c r="B124" i="2" l="1"/>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51" i="1"/>
  <c r="B3" i="2"/>
  <c r="B4" i="2"/>
  <c r="B5" i="2"/>
  <c r="B6" i="2"/>
  <c r="B7" i="2"/>
  <c r="B8" i="2"/>
  <c r="B9" i="2"/>
  <c r="B10" i="2"/>
  <c r="B11" i="2"/>
  <c r="B12" i="2"/>
  <c r="B13" i="2"/>
  <c r="B14" i="2"/>
  <c r="B15" i="2"/>
  <c r="B16" i="2"/>
  <c r="B17" i="2"/>
  <c r="B18" i="2"/>
  <c r="B19" i="2"/>
  <c r="B20" i="2"/>
  <c r="B21" i="2"/>
  <c r="B22" i="2"/>
  <c r="B23" i="2"/>
  <c r="B24" i="2"/>
  <c r="B25" i="2"/>
  <c r="B26" i="2"/>
  <c r="B27" i="2"/>
  <c r="B28" i="2"/>
  <c r="B29" i="2"/>
  <c r="B30"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6" i="2"/>
  <c r="B67" i="2"/>
  <c r="B68" i="2"/>
  <c r="B69" i="2"/>
  <c r="B70" i="2"/>
  <c r="B71" i="2"/>
  <c r="B72" i="2"/>
  <c r="B73" i="2"/>
  <c r="B74" i="2"/>
  <c r="B75" i="2"/>
  <c r="B76" i="2"/>
  <c r="B77" i="2"/>
  <c r="B78" i="2"/>
  <c r="B79" i="2"/>
  <c r="B80" i="2"/>
  <c r="B81" i="2"/>
  <c r="B82" i="2"/>
  <c r="B84" i="2"/>
  <c r="B85" i="2"/>
  <c r="B86" i="2"/>
  <c r="B87" i="2"/>
  <c r="B88" i="2"/>
  <c r="B89" i="2"/>
  <c r="B90" i="2"/>
  <c r="B91" i="2"/>
  <c r="B92" i="2"/>
  <c r="B93" i="2"/>
  <c r="B94" i="2"/>
  <c r="B95" i="2"/>
  <c r="B96" i="2"/>
  <c r="B97" i="2"/>
  <c r="B98" i="2"/>
  <c r="B99" i="2"/>
  <c r="B100" i="2"/>
  <c r="B102" i="2"/>
  <c r="B103" i="2"/>
  <c r="B104" i="2"/>
  <c r="B105" i="2"/>
  <c r="B106" i="2"/>
  <c r="B107" i="2"/>
  <c r="B108" i="2"/>
  <c r="B109" i="2"/>
  <c r="B110" i="2"/>
  <c r="B111" i="2"/>
  <c r="B112" i="2"/>
  <c r="B113" i="2"/>
  <c r="B114" i="2"/>
  <c r="B115" i="2"/>
  <c r="B116" i="2"/>
  <c r="B117" i="2"/>
  <c r="B118" i="2"/>
  <c r="B119" i="2"/>
  <c r="B120" i="2"/>
  <c r="B121" i="2"/>
  <c r="B122" i="2"/>
  <c r="B123" i="2"/>
  <c r="B2" i="2"/>
  <c r="D52" i="1"/>
  <c r="D53" i="1"/>
  <c r="D54" i="1"/>
  <c r="D55" i="1"/>
  <c r="D56" i="1"/>
  <c r="D57" i="1"/>
  <c r="D58" i="1"/>
  <c r="D59" i="1"/>
  <c r="D60" i="1"/>
  <c r="D61" i="1"/>
  <c r="D62" i="1"/>
  <c r="D34" i="1"/>
  <c r="D35" i="1"/>
  <c r="D36" i="1"/>
  <c r="D37" i="1"/>
  <c r="D38" i="1"/>
  <c r="D39" i="1"/>
  <c r="D40" i="1"/>
  <c r="D41" i="1"/>
  <c r="D42" i="1"/>
  <c r="D43" i="1"/>
  <c r="D44" i="1"/>
  <c r="D45" i="1"/>
  <c r="D46" i="1"/>
  <c r="D47" i="1"/>
  <c r="D48" i="1"/>
  <c r="D49" i="1"/>
  <c r="D5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alcChain>
</file>

<file path=xl/sharedStrings.xml><?xml version="1.0" encoding="utf-8"?>
<sst xmlns="http://schemas.openxmlformats.org/spreadsheetml/2006/main" count="5449" uniqueCount="1389">
  <si>
    <t>Quota order number</t>
  </si>
  <si>
    <t>Validity start date</t>
  </si>
  <si>
    <t>Origin</t>
  </si>
  <si>
    <t>Exclusions</t>
  </si>
  <si>
    <t>Validity end date</t>
  </si>
  <si>
    <t>initial_volume</t>
  </si>
  <si>
    <t>measurement_unit_code</t>
  </si>
  <si>
    <t>maximum_precision</t>
  </si>
  <si>
    <t>critical_state</t>
  </si>
  <si>
    <t>monetary_unit_code</t>
  </si>
  <si>
    <t>measurement_unit_qualifier_code</t>
  </si>
  <si>
    <t>ASV</t>
  </si>
  <si>
    <t>CCT</t>
  </si>
  <si>
    <t>CEN</t>
  </si>
  <si>
    <t>CTM</t>
  </si>
  <si>
    <t>DAP</t>
  </si>
  <si>
    <t>DHS</t>
  </si>
  <si>
    <t>DTN</t>
  </si>
  <si>
    <t>EUR</t>
  </si>
  <si>
    <t>GFI</t>
  </si>
  <si>
    <t>GRM</t>
  </si>
  <si>
    <t>GRT</t>
  </si>
  <si>
    <t>HLT</t>
  </si>
  <si>
    <t>HMT</t>
  </si>
  <si>
    <t>KAC</t>
  </si>
  <si>
    <t>KCC</t>
  </si>
  <si>
    <t>KCL</t>
  </si>
  <si>
    <t>KGM</t>
  </si>
  <si>
    <t>KLT</t>
  </si>
  <si>
    <t>KMA</t>
  </si>
  <si>
    <t>KMT</t>
  </si>
  <si>
    <t>KNI</t>
  </si>
  <si>
    <t>KNS</t>
  </si>
  <si>
    <t>KPH</t>
  </si>
  <si>
    <t>KPO</t>
  </si>
  <si>
    <t>KPP</t>
  </si>
  <si>
    <t>KSD</t>
  </si>
  <si>
    <t>KSH</t>
  </si>
  <si>
    <t>KUR</t>
  </si>
  <si>
    <t>LPA</t>
  </si>
  <si>
    <t>LTR</t>
  </si>
  <si>
    <t>MIL</t>
  </si>
  <si>
    <t>MPR</t>
  </si>
  <si>
    <t>MTK</t>
  </si>
  <si>
    <t>MTQ</t>
  </si>
  <si>
    <t>MTR</t>
  </si>
  <si>
    <t>MWH</t>
  </si>
  <si>
    <t>NAR</t>
  </si>
  <si>
    <t>NCL</t>
  </si>
  <si>
    <t>NPR</t>
  </si>
  <si>
    <t>TJO</t>
  </si>
  <si>
    <t>TNE</t>
  </si>
  <si>
    <t>WAT</t>
  </si>
  <si>
    <t>A</t>
  </si>
  <si>
    <t>B</t>
  </si>
  <si>
    <t>C</t>
  </si>
  <si>
    <t>D</t>
  </si>
  <si>
    <t>E</t>
  </si>
  <si>
    <t>F</t>
  </si>
  <si>
    <t>G</t>
  </si>
  <si>
    <t>I</t>
  </si>
  <si>
    <t>J</t>
  </si>
  <si>
    <t>K</t>
  </si>
  <si>
    <t>L</t>
  </si>
  <si>
    <t>M</t>
  </si>
  <si>
    <t>P</t>
  </si>
  <si>
    <t>R</t>
  </si>
  <si>
    <t>S</t>
  </si>
  <si>
    <t>T</t>
  </si>
  <si>
    <t>X</t>
  </si>
  <si>
    <t>Z</t>
  </si>
  <si>
    <t>Measurement unit qualifier codes</t>
  </si>
  <si>
    <t>Measurement unit codes</t>
  </si>
  <si>
    <t>goods nomenclature</t>
  </si>
  <si>
    <t>quota order number</t>
  </si>
  <si>
    <t>ad valorem duty</t>
  </si>
  <si>
    <t>measurement unit</t>
  </si>
  <si>
    <t>N</t>
  </si>
  <si>
    <t>Subject</t>
  </si>
  <si>
    <t>Measure type</t>
  </si>
  <si>
    <t>Measure types</t>
  </si>
  <si>
    <t>122 Non preferential tariff quota</t>
  </si>
  <si>
    <t>123 Non preferential tariff quota under end-use</t>
  </si>
  <si>
    <t>143 Preferential tariff quota</t>
  </si>
  <si>
    <t>146 Preferential tariff quota under end-use</t>
  </si>
  <si>
    <t>Blocking period start</t>
  </si>
  <si>
    <t>Blocking period end</t>
  </si>
  <si>
    <t>Regulation</t>
  </si>
  <si>
    <t>critical threshold</t>
  </si>
  <si>
    <t>monetary_unit</t>
  </si>
  <si>
    <t>measurement unit qualifier</t>
  </si>
  <si>
    <t>New?</t>
  </si>
  <si>
    <t>090919</t>
  </si>
  <si>
    <t>090921</t>
  </si>
  <si>
    <t>090922</t>
  </si>
  <si>
    <t>090923</t>
  </si>
  <si>
    <t>090924</t>
  </si>
  <si>
    <t>090925</t>
  </si>
  <si>
    <t>090926</t>
  </si>
  <si>
    <t>090927</t>
  </si>
  <si>
    <t>090928</t>
  </si>
  <si>
    <t>090929</t>
  </si>
  <si>
    <t>090930</t>
  </si>
  <si>
    <t>090931</t>
  </si>
  <si>
    <t>090932</t>
  </si>
  <si>
    <t>090933</t>
  </si>
  <si>
    <t>090934</t>
  </si>
  <si>
    <t>090935</t>
  </si>
  <si>
    <t>090936</t>
  </si>
  <si>
    <t>090937</t>
  </si>
  <si>
    <t>090938</t>
  </si>
  <si>
    <t>090939</t>
  </si>
  <si>
    <t>090940</t>
  </si>
  <si>
    <t>090941</t>
  </si>
  <si>
    <t>090942</t>
  </si>
  <si>
    <t>090943</t>
  </si>
  <si>
    <t>090944</t>
  </si>
  <si>
    <t>090945</t>
  </si>
  <si>
    <t>090946</t>
  </si>
  <si>
    <t>090948</t>
  </si>
  <si>
    <t>090950</t>
  </si>
  <si>
    <t>P1900030</t>
  </si>
  <si>
    <t>CH</t>
  </si>
  <si>
    <t>FCFS Quota number 090921 for geography CH : Switzerland on seed potatoes, fresh or chilled</t>
  </si>
  <si>
    <t>FCFS Quota number 090922 for geography CH : Switzerland on tomatoes, fresh or chilled</t>
  </si>
  <si>
    <t>FCFS Quota number 090923 for geography CH : Switzerland on onions, fresh or chilled</t>
  </si>
  <si>
    <t>FCFS Quota number 090924 for geography CH : Switzerland on cabbages and the like, fresh or chilled</t>
  </si>
  <si>
    <t>FCFS Quota number 090925 for geography CH : Switzerland on lettuce and chicory, fresh or chilled</t>
  </si>
  <si>
    <t>FCFS Quota number 090926 for geography CH : Switzerland on carrots and turnips, fresh or chilled</t>
  </si>
  <si>
    <t>FCFS Quota number 090927 for geography CH : Switzerland on edible root vegetables, fresh or chilled</t>
  </si>
  <si>
    <t>FCFS Quota number 090928 for geography CH : Switzerland on cucumbers, fresh or chilled</t>
  </si>
  <si>
    <t>FCFS Quota number 090929 for geography CH : Switzerland on beans, fresh or chilled</t>
  </si>
  <si>
    <t>FCFS Quota number 090930 for geography CH : Switzerland on aubergines, fresh or chilled</t>
  </si>
  <si>
    <t>FCFS Quota number 090931 for geography CH : Switzerland on celery, fresh or chilled</t>
  </si>
  <si>
    <t>FCFS Quota number 090932 for geography CH : Switzerland on spinach, fresh or chilled</t>
  </si>
  <si>
    <t>FCFS Quota number 090933 for geography CH : Switzerland on salad vegetables, fresh or chilled</t>
  </si>
  <si>
    <t>FCFS Quota number 090934 for geography CH : Switzerland on fennel, fresh or chilled</t>
  </si>
  <si>
    <t>FCFS Quota number 090935 for geography CH : Switzerland on courgettes, fresh or chilled</t>
  </si>
  <si>
    <t>FCFS Quota number 090936 for geography CH : Switzerland on other vegetables, fresh or chilled</t>
  </si>
  <si>
    <t>FCFS Quota number 090937 for geography CH : Switzerland on apples, other than cider apples, fresh</t>
  </si>
  <si>
    <t>FCFS Quota number 090938 for geography CH : Switzerland on pears and quinces, fresh</t>
  </si>
  <si>
    <t>FCFS Quota number 090939 for geography CH : Switzerland on apricots, fresh</t>
  </si>
  <si>
    <t>FCFS Quota number 090940 for geography CH : Switzerland on sweet cherries, fresh</t>
  </si>
  <si>
    <t>FCFS Quota number 090941 for geography CH : Switzerland on plums and sloes, fresh</t>
  </si>
  <si>
    <t>FCFS Quota number 090942 for geography CH : Switzerland on raspberries, fresh</t>
  </si>
  <si>
    <t>FCFS Quota number 090943 for geography CH : Switzerland on blackberries, mulberries and loganberries, fresh</t>
  </si>
  <si>
    <t>FCFS Quota number 090944 for geography CH : Switzerland on flour, meal and powder of bananas</t>
  </si>
  <si>
    <t>FCFS Quota number 090945 for geography CH : Switzerland on potatoes</t>
  </si>
  <si>
    <t>FCFS Quota number 090946 for geography CH : Switzerland on cherries</t>
  </si>
  <si>
    <t>FCFS Quota number 090948 for geography CH : Switzerland on strawberries</t>
  </si>
  <si>
    <t>FCFS Quota number 090950 for geography CH : Switzerland on chard or white beet and cardoons</t>
  </si>
  <si>
    <t>094155</t>
  </si>
  <si>
    <t>094202</t>
  </si>
  <si>
    <t>094203</t>
  </si>
  <si>
    <t>Method</t>
  </si>
  <si>
    <t>Licensed quotas do not need a description</t>
  </si>
  <si>
    <t>091921</t>
  </si>
  <si>
    <t>P1900090</t>
  </si>
  <si>
    <t>CL</t>
  </si>
  <si>
    <t>FCFS Quota number 091921 for geography CL : Chile on pigmeat</t>
  </si>
  <si>
    <t>091922</t>
  </si>
  <si>
    <t>FCFS Quota number 091922 for geography CL : Chile on meat of sheep or goats, fresh, chilled or frozen.</t>
  </si>
  <si>
    <t>091923</t>
  </si>
  <si>
    <t>FCFS Quota number 091923 for geography CL : Chile on poultrymeat</t>
  </si>
  <si>
    <t>091924</t>
  </si>
  <si>
    <t>FCFS Quota number 091924 for geography CL : Chile on cheese and curd</t>
  </si>
  <si>
    <t>091925</t>
  </si>
  <si>
    <t>FCFS Quota number 091925 for geography CL : Chile on garlic</t>
  </si>
  <si>
    <t>091926</t>
  </si>
  <si>
    <t>FCFS Quota number 091926 for geography CL : Chile on cereal grains</t>
  </si>
  <si>
    <t>091927</t>
  </si>
  <si>
    <t>FCFS Quota number 091927 for geography CL : Chile on mushrooms of the genus agaricus, prepared or preserved</t>
  </si>
  <si>
    <t>091928</t>
  </si>
  <si>
    <t>FCFS Quota number 091928 for geography CL : Chile on cherries</t>
  </si>
  <si>
    <t>091931</t>
  </si>
  <si>
    <t>FCFS Quota number 091931 for geography CL : Chile on sugar confectionery, not containing cocoa</t>
  </si>
  <si>
    <t>091932</t>
  </si>
  <si>
    <t>FCFS Quota number 091932 for geography CL : Chile on chocolate</t>
  </si>
  <si>
    <t>091933</t>
  </si>
  <si>
    <t>FCFS Quota number 091933 for geography CL : Chile on sweet biscuits, waffles and wafers</t>
  </si>
  <si>
    <t>091934</t>
  </si>
  <si>
    <t>FCFS Quota number 091934 for geography CL : Chile on hake, fresh or chilled</t>
  </si>
  <si>
    <t>091935</t>
  </si>
  <si>
    <t>FCFS Quota number 091935 for geography CL : Chile on fish fillets; smoked fish</t>
  </si>
  <si>
    <t>091936</t>
  </si>
  <si>
    <t>FCFS Quota number 091936 for geography CL : Chile on prepared or preserved fish</t>
  </si>
  <si>
    <t>091944</t>
  </si>
  <si>
    <t>FCFS Quota number 091944 for geography CL : Chile on certain agricultural products originating in chile</t>
  </si>
  <si>
    <t>092115</t>
  </si>
  <si>
    <t>FCFS Quota number 092115 for geography CL : Chile on boneless lamb</t>
  </si>
  <si>
    <t>092116</t>
  </si>
  <si>
    <t>FCFS Quota number 092116 for geography CL : Chile on boneless mutton/sheep</t>
  </si>
  <si>
    <t>Y</t>
  </si>
  <si>
    <t>090671</t>
  </si>
  <si>
    <t>P1900220</t>
  </si>
  <si>
    <t>FO</t>
  </si>
  <si>
    <t>FCFS Quota number 090671 for geography FO : Faroe Islands on trouts</t>
  </si>
  <si>
    <t>090672</t>
  </si>
  <si>
    <t>FCFS Quota number 090672 for geography FO : Faroe Islands on coalfish (pollachius virens), salted and dried</t>
  </si>
  <si>
    <t>090674</t>
  </si>
  <si>
    <t>FCFS Quota number 090674 for geography FO : Faroe Islands on common whelk (buccinum undatum), live, fresh or chilled, frozen, prepared or preserved</t>
  </si>
  <si>
    <t>090675</t>
  </si>
  <si>
    <t>FCFS Quota number 090675 for geography FO : Faroe Islands on salmon and trout</t>
  </si>
  <si>
    <t>090676</t>
  </si>
  <si>
    <t>FCFS Quota number 090676 for geography FO : Faroe Islands on crab of the species geryon affinis, frozen</t>
  </si>
  <si>
    <t>090679</t>
  </si>
  <si>
    <t>FCFS Quota number 090679 for geography FO : Faroe Islands on conserves de crevettes</t>
  </si>
  <si>
    <t>090681</t>
  </si>
  <si>
    <t>FCFS Quota number 090681 for geography FO : Faroe Islands on prepared or preserved fish; caviar and caviar substitutes prepared from fish eggs</t>
  </si>
  <si>
    <t>090689</t>
  </si>
  <si>
    <t>FCFS Quota number 090689 for geography FO : Faroe Islands on feedstuffs for fish</t>
  </si>
  <si>
    <t>090690</t>
  </si>
  <si>
    <t>FCFS Quota number 090690 for geography FO : Faroe Islands on bone-in and carcass lamb</t>
  </si>
  <si>
    <t>092129</t>
  </si>
  <si>
    <t>FCFS Quota number 092129 for geography FO : Faroe Islands on boneless lamb</t>
  </si>
  <si>
    <t>092130</t>
  </si>
  <si>
    <t>FCFS Quota number 092130 for geography FO : Faroe Islands on boneless mutton/sheep</t>
  </si>
  <si>
    <t>origin (lookup)</t>
  </si>
  <si>
    <t>094181</t>
  </si>
  <si>
    <t>0210195010</t>
  </si>
  <si>
    <t>0210198110</t>
  </si>
  <si>
    <t>0210198120</t>
  </si>
  <si>
    <t>1601001011</t>
  </si>
  <si>
    <t>1601001019</t>
  </si>
  <si>
    <t>1601009110</t>
  </si>
  <si>
    <t>1601009911</t>
  </si>
  <si>
    <t>1601009919</t>
  </si>
  <si>
    <t>1602491910</t>
  </si>
  <si>
    <t>0701100000</t>
  </si>
  <si>
    <t>0702000000</t>
  </si>
  <si>
    <t>0703101900</t>
  </si>
  <si>
    <t>0703900000</t>
  </si>
  <si>
    <t>0704100000</t>
  </si>
  <si>
    <t>0704900000</t>
  </si>
  <si>
    <t>0705110000</t>
  </si>
  <si>
    <t>0705190000</t>
  </si>
  <si>
    <t>0705210000</t>
  </si>
  <si>
    <t>0705290000</t>
  </si>
  <si>
    <t>0706100000</t>
  </si>
  <si>
    <t>0706901000</t>
  </si>
  <si>
    <t>0706909000</t>
  </si>
  <si>
    <t>0707000500</t>
  </si>
  <si>
    <t>0708200000</t>
  </si>
  <si>
    <t>0709300000</t>
  </si>
  <si>
    <t>0709400000</t>
  </si>
  <si>
    <t>0709700000</t>
  </si>
  <si>
    <t>0709991000</t>
  </si>
  <si>
    <t>0709995000</t>
  </si>
  <si>
    <t>0709931000</t>
  </si>
  <si>
    <t>0709939000</t>
  </si>
  <si>
    <t>0709999000</t>
  </si>
  <si>
    <t>0808108090</t>
  </si>
  <si>
    <t>0808301000</t>
  </si>
  <si>
    <t>0808309000</t>
  </si>
  <si>
    <t>0808400000</t>
  </si>
  <si>
    <t>0809100000</t>
  </si>
  <si>
    <t>0809290000</t>
  </si>
  <si>
    <t>0809400500</t>
  </si>
  <si>
    <t>0809409000</t>
  </si>
  <si>
    <t>0810201000</t>
  </si>
  <si>
    <t>0810209000</t>
  </si>
  <si>
    <t>1106301000</t>
  </si>
  <si>
    <t>0710100000</t>
  </si>
  <si>
    <t>2004101000</t>
  </si>
  <si>
    <t>2004109900</t>
  </si>
  <si>
    <t>2005208000</t>
  </si>
  <si>
    <t>0811901912</t>
  </si>
  <si>
    <t>0811903912</t>
  </si>
  <si>
    <t>0811908000</t>
  </si>
  <si>
    <t>2008600000</t>
  </si>
  <si>
    <t>0810100000</t>
  </si>
  <si>
    <t>0709992000</t>
  </si>
  <si>
    <t>0401401010</t>
  </si>
  <si>
    <t>0401409010</t>
  </si>
  <si>
    <t>0401501110</t>
  </si>
  <si>
    <t>0401501910</t>
  </si>
  <si>
    <t>0401503110</t>
  </si>
  <si>
    <t>0401503910</t>
  </si>
  <si>
    <t>0401509110</t>
  </si>
  <si>
    <t>0401509910</t>
  </si>
  <si>
    <t>0403100000</t>
  </si>
  <si>
    <t>0210209011</t>
  </si>
  <si>
    <t>0210209015</t>
  </si>
  <si>
    <t>0102294100</t>
  </si>
  <si>
    <t>0102294900</t>
  </si>
  <si>
    <t>0102295100</t>
  </si>
  <si>
    <t>0102295900</t>
  </si>
  <si>
    <t>0102296100</t>
  </si>
  <si>
    <t>0102296900</t>
  </si>
  <si>
    <t>0102299100</t>
  </si>
  <si>
    <t>0102299900</t>
  </si>
  <si>
    <t>0102391010</t>
  </si>
  <si>
    <t>0102909110</t>
  </si>
  <si>
    <t>end date override</t>
  </si>
  <si>
    <t>0203111000</t>
  </si>
  <si>
    <t>0203121100</t>
  </si>
  <si>
    <t>0203121900</t>
  </si>
  <si>
    <t>0203191100</t>
  </si>
  <si>
    <t>0203191300</t>
  </si>
  <si>
    <t>0203191500</t>
  </si>
  <si>
    <t>0203195500</t>
  </si>
  <si>
    <t>0203195900</t>
  </si>
  <si>
    <t>0203211000</t>
  </si>
  <si>
    <t>0203221100</t>
  </si>
  <si>
    <t>0203221900</t>
  </si>
  <si>
    <t>0203291100</t>
  </si>
  <si>
    <t>0203291300</t>
  </si>
  <si>
    <t>0203291500</t>
  </si>
  <si>
    <t>0203295500</t>
  </si>
  <si>
    <t>0203295900</t>
  </si>
  <si>
    <t>1601000000</t>
  </si>
  <si>
    <t>1602410000</t>
  </si>
  <si>
    <t>1602420000</t>
  </si>
  <si>
    <t>1602490000</t>
  </si>
  <si>
    <t>0204100000</t>
  </si>
  <si>
    <t>0204210000</t>
  </si>
  <si>
    <t>0204220000</t>
  </si>
  <si>
    <t>0204300000</t>
  </si>
  <si>
    <t>0204410000</t>
  </si>
  <si>
    <t>0204420000</t>
  </si>
  <si>
    <t>0204501100</t>
  </si>
  <si>
    <t>0204501300</t>
  </si>
  <si>
    <t>0204501500</t>
  </si>
  <si>
    <t>0204501900</t>
  </si>
  <si>
    <t>0204503100</t>
  </si>
  <si>
    <t>0204505100</t>
  </si>
  <si>
    <t>0204505300</t>
  </si>
  <si>
    <t>0204505500</t>
  </si>
  <si>
    <t>0204505900</t>
  </si>
  <si>
    <t>0204507100</t>
  </si>
  <si>
    <t>0207110000</t>
  </si>
  <si>
    <t>0207120000</t>
  </si>
  <si>
    <t>0207131000</t>
  </si>
  <si>
    <t>0207132000</t>
  </si>
  <si>
    <t>0207133000</t>
  </si>
  <si>
    <t>0207134000</t>
  </si>
  <si>
    <t>0207135000</t>
  </si>
  <si>
    <t>0207136000</t>
  </si>
  <si>
    <t>0207137000</t>
  </si>
  <si>
    <t>0207139900</t>
  </si>
  <si>
    <t>0207141000</t>
  </si>
  <si>
    <t>0207142000</t>
  </si>
  <si>
    <t>0207143000</t>
  </si>
  <si>
    <t>0207144000</t>
  </si>
  <si>
    <t>0207145000</t>
  </si>
  <si>
    <t>0207146000</t>
  </si>
  <si>
    <t>0207147000</t>
  </si>
  <si>
    <t>0207149900</t>
  </si>
  <si>
    <t>0207240000</t>
  </si>
  <si>
    <t>0207250000</t>
  </si>
  <si>
    <t>0207261000</t>
  </si>
  <si>
    <t>0207262000</t>
  </si>
  <si>
    <t>0207263000</t>
  </si>
  <si>
    <t>0207264000</t>
  </si>
  <si>
    <t>0207265000</t>
  </si>
  <si>
    <t>0207266000</t>
  </si>
  <si>
    <t>0207267000</t>
  </si>
  <si>
    <t>0207268000</t>
  </si>
  <si>
    <t>0207269900</t>
  </si>
  <si>
    <t>0207271000</t>
  </si>
  <si>
    <t>0207272000</t>
  </si>
  <si>
    <t>0207273000</t>
  </si>
  <si>
    <t>0207274000</t>
  </si>
  <si>
    <t>0207275000</t>
  </si>
  <si>
    <t>0207276000</t>
  </si>
  <si>
    <t>0207277000</t>
  </si>
  <si>
    <t>0207278000</t>
  </si>
  <si>
    <t>0207279900</t>
  </si>
  <si>
    <t>0207412000</t>
  </si>
  <si>
    <t>0207413000</t>
  </si>
  <si>
    <t>0207418000</t>
  </si>
  <si>
    <t>0207423000</t>
  </si>
  <si>
    <t>0207428000</t>
  </si>
  <si>
    <t>0207441000</t>
  </si>
  <si>
    <t>0207442100</t>
  </si>
  <si>
    <t>0207445100</t>
  </si>
  <si>
    <t>0207446100</t>
  </si>
  <si>
    <t>0207447100</t>
  </si>
  <si>
    <t>0207451000</t>
  </si>
  <si>
    <t>0207452100</t>
  </si>
  <si>
    <t>0207455100</t>
  </si>
  <si>
    <t>0207456100</t>
  </si>
  <si>
    <t>0207457100</t>
  </si>
  <si>
    <t>0207547100</t>
  </si>
  <si>
    <t>0207557100</t>
  </si>
  <si>
    <t>0207601000</t>
  </si>
  <si>
    <t>0207605100</t>
  </si>
  <si>
    <t>0207606100</t>
  </si>
  <si>
    <t>1602320000</t>
  </si>
  <si>
    <t>0406100000</t>
  </si>
  <si>
    <t>0406200000</t>
  </si>
  <si>
    <t>0406300000</t>
  </si>
  <si>
    <t>0406400000</t>
  </si>
  <si>
    <t>0406900100</t>
  </si>
  <si>
    <t>0406901300</t>
  </si>
  <si>
    <t>0406901500</t>
  </si>
  <si>
    <t>0406901700</t>
  </si>
  <si>
    <t>0406901800</t>
  </si>
  <si>
    <t>0406902100</t>
  </si>
  <si>
    <t>0406902300</t>
  </si>
  <si>
    <t>0406902500</t>
  </si>
  <si>
    <t>0406902900</t>
  </si>
  <si>
    <t>0406903200</t>
  </si>
  <si>
    <t>0406903500</t>
  </si>
  <si>
    <t>0406903700</t>
  </si>
  <si>
    <t>0406903900</t>
  </si>
  <si>
    <t>0406905000</t>
  </si>
  <si>
    <t>0406906100</t>
  </si>
  <si>
    <t>0406906300</t>
  </si>
  <si>
    <t>0406906900</t>
  </si>
  <si>
    <t>0406907300</t>
  </si>
  <si>
    <t>0406907400</t>
  </si>
  <si>
    <t>0406907500</t>
  </si>
  <si>
    <t>0406907600</t>
  </si>
  <si>
    <t>0406907800</t>
  </si>
  <si>
    <t>0406907900</t>
  </si>
  <si>
    <t>0406908100</t>
  </si>
  <si>
    <t>0406908200</t>
  </si>
  <si>
    <t>0406908400</t>
  </si>
  <si>
    <t>0406908500</t>
  </si>
  <si>
    <t>0406908600</t>
  </si>
  <si>
    <t>0406908900</t>
  </si>
  <si>
    <t>0406909200</t>
  </si>
  <si>
    <t>0406909300</t>
  </si>
  <si>
    <t>0406909900</t>
  </si>
  <si>
    <t>0703200000</t>
  </si>
  <si>
    <t>1104000000</t>
  </si>
  <si>
    <t>2003102000</t>
  </si>
  <si>
    <t>2003103000</t>
  </si>
  <si>
    <t>2008601900</t>
  </si>
  <si>
    <t>1704000000</t>
  </si>
  <si>
    <t>1806200000</t>
  </si>
  <si>
    <t>1806310000</t>
  </si>
  <si>
    <t>1806320000</t>
  </si>
  <si>
    <t>1806900000</t>
  </si>
  <si>
    <t>1905310000</t>
  </si>
  <si>
    <t>1905320000</t>
  </si>
  <si>
    <t>1905904500</t>
  </si>
  <si>
    <t>0302541100</t>
  </si>
  <si>
    <t>0302541500</t>
  </si>
  <si>
    <t>0302541900</t>
  </si>
  <si>
    <t>0302549000</t>
  </si>
  <si>
    <t>0302990060</t>
  </si>
  <si>
    <t>0305391000</t>
  </si>
  <si>
    <t>0305410000</t>
  </si>
  <si>
    <t>1604142100</t>
  </si>
  <si>
    <t>1604142800</t>
  </si>
  <si>
    <t>1604143100</t>
  </si>
  <si>
    <t>1604143800</t>
  </si>
  <si>
    <t>1604144100</t>
  </si>
  <si>
    <t>1604144800</t>
  </si>
  <si>
    <t>1604193900</t>
  </si>
  <si>
    <t>1604207000</t>
  </si>
  <si>
    <t>0204230011</t>
  </si>
  <si>
    <t>0204230091</t>
  </si>
  <si>
    <t>0204431000</t>
  </si>
  <si>
    <t>0204503910</t>
  </si>
  <si>
    <t>0204507910</t>
  </si>
  <si>
    <t>0204230019</t>
  </si>
  <si>
    <t>0204230099</t>
  </si>
  <si>
    <t>0204439000</t>
  </si>
  <si>
    <t>0204503990</t>
  </si>
  <si>
    <t>0204507990</t>
  </si>
  <si>
    <t>0201200000</t>
  </si>
  <si>
    <t>0201300000</t>
  </si>
  <si>
    <t>0202200000</t>
  </si>
  <si>
    <t>0202300000</t>
  </si>
  <si>
    <t>0301919011</t>
  </si>
  <si>
    <t>0301919019</t>
  </si>
  <si>
    <t>0302112000</t>
  </si>
  <si>
    <t>0302118011</t>
  </si>
  <si>
    <t>0302118019</t>
  </si>
  <si>
    <t>0303142000</t>
  </si>
  <si>
    <t>0303149011</t>
  </si>
  <si>
    <t>0303149019</t>
  </si>
  <si>
    <t>0304421000</t>
  </si>
  <si>
    <t>0304429010</t>
  </si>
  <si>
    <t>0304821000</t>
  </si>
  <si>
    <t>0304829010</t>
  </si>
  <si>
    <t>0304992111</t>
  </si>
  <si>
    <t>0305539010</t>
  </si>
  <si>
    <t>0307910010</t>
  </si>
  <si>
    <t>0307920010</t>
  </si>
  <si>
    <t>1605590010</t>
  </si>
  <si>
    <t>1604110030</t>
  </si>
  <si>
    <t>1604191010</t>
  </si>
  <si>
    <t>1604201030</t>
  </si>
  <si>
    <t>1604203010</t>
  </si>
  <si>
    <t>0306149010</t>
  </si>
  <si>
    <t>0306169100</t>
  </si>
  <si>
    <t>0306169900</t>
  </si>
  <si>
    <t>0306179100</t>
  </si>
  <si>
    <t>0306179200</t>
  </si>
  <si>
    <t>0306179300</t>
  </si>
  <si>
    <t>0306179400</t>
  </si>
  <si>
    <t>0306179900</t>
  </si>
  <si>
    <t>0306940000</t>
  </si>
  <si>
    <t>0306951100</t>
  </si>
  <si>
    <t>0306951900</t>
  </si>
  <si>
    <t>0306952000</t>
  </si>
  <si>
    <t>0306953091</t>
  </si>
  <si>
    <t>0306953099</t>
  </si>
  <si>
    <t>0306954000</t>
  </si>
  <si>
    <t>0306959000</t>
  </si>
  <si>
    <t>1605211000</t>
  </si>
  <si>
    <t>1605219000</t>
  </si>
  <si>
    <t>1605290000</t>
  </si>
  <si>
    <t>1605400020</t>
  </si>
  <si>
    <t>1604170000</t>
  </si>
  <si>
    <t>1604180000</t>
  </si>
  <si>
    <t>1604199200</t>
  </si>
  <si>
    <t>1604199300</t>
  </si>
  <si>
    <t>1604199400</t>
  </si>
  <si>
    <t>1604199500</t>
  </si>
  <si>
    <t>1604199700</t>
  </si>
  <si>
    <t>1604200500</t>
  </si>
  <si>
    <t>1604209020</t>
  </si>
  <si>
    <t>1604209030</t>
  </si>
  <si>
    <t>1604209035</t>
  </si>
  <si>
    <t>1604209040</t>
  </si>
  <si>
    <t>1604209050</t>
  </si>
  <si>
    <t>1604209060</t>
  </si>
  <si>
    <t>1604209090</t>
  </si>
  <si>
    <t>2309901021</t>
  </si>
  <si>
    <t>2309901081</t>
  </si>
  <si>
    <t>2309903130</t>
  </si>
  <si>
    <t>2309904120</t>
  </si>
  <si>
    <t>0701905000</t>
  </si>
  <si>
    <t>0404100000</t>
  </si>
  <si>
    <t>0709601000</t>
  </si>
  <si>
    <t>0702000007</t>
  </si>
  <si>
    <t>0603110000</t>
  </si>
  <si>
    <t>0603120000</t>
  </si>
  <si>
    <t>0603130000</t>
  </si>
  <si>
    <t>0603140000</t>
  </si>
  <si>
    <t>0603150000</t>
  </si>
  <si>
    <t>0603191000</t>
  </si>
  <si>
    <t>0603192000</t>
  </si>
  <si>
    <t>0603197000</t>
  </si>
  <si>
    <t>0805102200</t>
  </si>
  <si>
    <t>0805102400</t>
  </si>
  <si>
    <t>0805102800</t>
  </si>
  <si>
    <t>0805108010</t>
  </si>
  <si>
    <t>2009111191</t>
  </si>
  <si>
    <t>2009111199</t>
  </si>
  <si>
    <t>2009111990</t>
  </si>
  <si>
    <t>2009119190</t>
  </si>
  <si>
    <t>2009119996</t>
  </si>
  <si>
    <t>2009119998</t>
  </si>
  <si>
    <t>2009120090</t>
  </si>
  <si>
    <t>2009191151</t>
  </si>
  <si>
    <t>2009191159</t>
  </si>
  <si>
    <t>2009191171</t>
  </si>
  <si>
    <t>2009191179</t>
  </si>
  <si>
    <t>2009191991</t>
  </si>
  <si>
    <t>2009191999</t>
  </si>
  <si>
    <t>2009199191</t>
  </si>
  <si>
    <t>2009199199</t>
  </si>
  <si>
    <t>2009199891</t>
  </si>
  <si>
    <t>2009199899</t>
  </si>
  <si>
    <t>2009111111</t>
  </si>
  <si>
    <t>2009111119</t>
  </si>
  <si>
    <t>2009111910</t>
  </si>
  <si>
    <t>2009119110</t>
  </si>
  <si>
    <t>2009119911</t>
  </si>
  <si>
    <t>2009119919</t>
  </si>
  <si>
    <t>2009119992</t>
  </si>
  <si>
    <t>2009119994</t>
  </si>
  <si>
    <t>2009120010</t>
  </si>
  <si>
    <t>2009191121</t>
  </si>
  <si>
    <t>2009191129</t>
  </si>
  <si>
    <t>2009191131</t>
  </si>
  <si>
    <t>2009191139</t>
  </si>
  <si>
    <t>2009191911</t>
  </si>
  <si>
    <t>2009191919</t>
  </si>
  <si>
    <t>2009199111</t>
  </si>
  <si>
    <t>2009199119</t>
  </si>
  <si>
    <t>2009199811</t>
  </si>
  <si>
    <t>2009199819</t>
  </si>
  <si>
    <t>0702000099</t>
  </si>
  <si>
    <t>0710400000</t>
  </si>
  <si>
    <t>2004901000</t>
  </si>
  <si>
    <t>0711903000</t>
  </si>
  <si>
    <t>2001903000</t>
  </si>
  <si>
    <t>2005800000</t>
  </si>
  <si>
    <t>0105120000</t>
  </si>
  <si>
    <t>0712903000</t>
  </si>
  <si>
    <t>0805219011</t>
  </si>
  <si>
    <t>0805220020</t>
  </si>
  <si>
    <t>0805290011</t>
  </si>
  <si>
    <t>1602311900</t>
  </si>
  <si>
    <t>1602318010</t>
  </si>
  <si>
    <t>1602321900</t>
  </si>
  <si>
    <t>1602323000</t>
  </si>
  <si>
    <t>1704109000</t>
  </si>
  <si>
    <t>1806102000</t>
  </si>
  <si>
    <t>1806103000</t>
  </si>
  <si>
    <t>1806109000</t>
  </si>
  <si>
    <t>1806201000</t>
  </si>
  <si>
    <t>1806203000</t>
  </si>
  <si>
    <t>1806205000</t>
  </si>
  <si>
    <t>1806207000</t>
  </si>
  <si>
    <t>1806208000</t>
  </si>
  <si>
    <t>1806209500</t>
  </si>
  <si>
    <t>1905203000</t>
  </si>
  <si>
    <t>1905209000</t>
  </si>
  <si>
    <t>2002909100</t>
  </si>
  <si>
    <t>2002909900</t>
  </si>
  <si>
    <t>2008707110</t>
  </si>
  <si>
    <t>2009902111</t>
  </si>
  <si>
    <t>2009902119</t>
  </si>
  <si>
    <t>2009902920</t>
  </si>
  <si>
    <t>2009905130</t>
  </si>
  <si>
    <t>2009905939</t>
  </si>
  <si>
    <t>2009909420</t>
  </si>
  <si>
    <t>2009909620</t>
  </si>
  <si>
    <t>2009909820</t>
  </si>
  <si>
    <t>2204100000</t>
  </si>
  <si>
    <t>2204210600</t>
  </si>
  <si>
    <t>2204210700</t>
  </si>
  <si>
    <t>2204210800</t>
  </si>
  <si>
    <t>2204210900</t>
  </si>
  <si>
    <t>2204219300</t>
  </si>
  <si>
    <t>2204219400</t>
  </si>
  <si>
    <t>2204219500</t>
  </si>
  <si>
    <t>2204219600</t>
  </si>
  <si>
    <t>2204219700</t>
  </si>
  <si>
    <t>2204219800</t>
  </si>
  <si>
    <t>2204221000</t>
  </si>
  <si>
    <t>2204229300</t>
  </si>
  <si>
    <t>2204229400</t>
  </si>
  <si>
    <t>2204229500</t>
  </si>
  <si>
    <t>2204229600</t>
  </si>
  <si>
    <t>2204229700</t>
  </si>
  <si>
    <t>2204229800</t>
  </si>
  <si>
    <t>2204291000</t>
  </si>
  <si>
    <t>2204299300</t>
  </si>
  <si>
    <t>2204299400</t>
  </si>
  <si>
    <t>2204299500</t>
  </si>
  <si>
    <t>2204299600</t>
  </si>
  <si>
    <t>2204299700</t>
  </si>
  <si>
    <t>2204299800</t>
  </si>
  <si>
    <t>2204301000</t>
  </si>
  <si>
    <t>2204309200</t>
  </si>
  <si>
    <t>2204309400</t>
  </si>
  <si>
    <t>2204309600</t>
  </si>
  <si>
    <t>2204309800</t>
  </si>
  <si>
    <t>0807190000</t>
  </si>
  <si>
    <t>3505200000</t>
  </si>
  <si>
    <t>0207443100</t>
  </si>
  <si>
    <t>0207444100</t>
  </si>
  <si>
    <t>0207448100</t>
  </si>
  <si>
    <t>0207449100</t>
  </si>
  <si>
    <t>0207449900</t>
  </si>
  <si>
    <t>0207453100</t>
  </si>
  <si>
    <t>0207454100</t>
  </si>
  <si>
    <t>0207458100</t>
  </si>
  <si>
    <t>0207459300</t>
  </si>
  <si>
    <t>0207459500</t>
  </si>
  <si>
    <t>0207459900</t>
  </si>
  <si>
    <t>0207521000</t>
  </si>
  <si>
    <t>0207529000</t>
  </si>
  <si>
    <t>0207541000</t>
  </si>
  <si>
    <t>0207542100</t>
  </si>
  <si>
    <t>0207543100</t>
  </si>
  <si>
    <t>0207544100</t>
  </si>
  <si>
    <t>0207545100</t>
  </si>
  <si>
    <t>0207546100</t>
  </si>
  <si>
    <t>0207548100</t>
  </si>
  <si>
    <t>0207549100</t>
  </si>
  <si>
    <t>0207549900</t>
  </si>
  <si>
    <t>0207551000</t>
  </si>
  <si>
    <t>0207552100</t>
  </si>
  <si>
    <t>0207553100</t>
  </si>
  <si>
    <t>0207554100</t>
  </si>
  <si>
    <t>0207555100</t>
  </si>
  <si>
    <t>0207556100</t>
  </si>
  <si>
    <t>0207558100</t>
  </si>
  <si>
    <t>0207559300</t>
  </si>
  <si>
    <t>0207559500</t>
  </si>
  <si>
    <t>0207559900</t>
  </si>
  <si>
    <t>091300</t>
  </si>
  <si>
    <t>091302</t>
  </si>
  <si>
    <t>091303</t>
  </si>
  <si>
    <t>091304</t>
  </si>
  <si>
    <t>091306</t>
  </si>
  <si>
    <t>091323</t>
  </si>
  <si>
    <t>091331</t>
  </si>
  <si>
    <t>091333</t>
  </si>
  <si>
    <t>091341</t>
  </si>
  <si>
    <t>091342</t>
  </si>
  <si>
    <t>091353</t>
  </si>
  <si>
    <t>091354</t>
  </si>
  <si>
    <t>091361</t>
  </si>
  <si>
    <t>091368</t>
  </si>
  <si>
    <t>091369</t>
  </si>
  <si>
    <t>091370</t>
  </si>
  <si>
    <t>091371</t>
  </si>
  <si>
    <t>091372</t>
  </si>
  <si>
    <t>091373</t>
  </si>
  <si>
    <t>091374</t>
  </si>
  <si>
    <t>091375</t>
  </si>
  <si>
    <t>091376</t>
  </si>
  <si>
    <t>091377</t>
  </si>
  <si>
    <t>091378</t>
  </si>
  <si>
    <t>091379</t>
  </si>
  <si>
    <t>091380</t>
  </si>
  <si>
    <t>091397</t>
  </si>
  <si>
    <t>091398</t>
  </si>
  <si>
    <t>091399</t>
  </si>
  <si>
    <t>094091</t>
  </si>
  <si>
    <t>094092</t>
  </si>
  <si>
    <t>IL</t>
  </si>
  <si>
    <t>P1900100</t>
  </si>
  <si>
    <t>Length</t>
  </si>
  <si>
    <t>091618</t>
  </si>
  <si>
    <t>091619</t>
  </si>
  <si>
    <t>P1900060</t>
  </si>
  <si>
    <t>1034</t>
  </si>
  <si>
    <t>1604207030</t>
  </si>
  <si>
    <t>1604207040</t>
  </si>
  <si>
    <t>1604207050</t>
  </si>
  <si>
    <t>1604207092</t>
  </si>
  <si>
    <t>1604207094</t>
  </si>
  <si>
    <t>1604142600</t>
  </si>
  <si>
    <t>1604143600</t>
  </si>
  <si>
    <t>1604144600</t>
  </si>
  <si>
    <t>090703</t>
  </si>
  <si>
    <t>090709</t>
  </si>
  <si>
    <t>090710</t>
  </si>
  <si>
    <t>090712</t>
  </si>
  <si>
    <t>090713</t>
  </si>
  <si>
    <t>090714</t>
  </si>
  <si>
    <t>090722</t>
  </si>
  <si>
    <t>090723</t>
  </si>
  <si>
    <t>090725</t>
  </si>
  <si>
    <t>090730</t>
  </si>
  <si>
    <t>090732</t>
  </si>
  <si>
    <t>090733</t>
  </si>
  <si>
    <t>090734</t>
  </si>
  <si>
    <t>090735</t>
  </si>
  <si>
    <t>090736</t>
  </si>
  <si>
    <t>090738</t>
  </si>
  <si>
    <t>090745</t>
  </si>
  <si>
    <t>090749</t>
  </si>
  <si>
    <t>090750</t>
  </si>
  <si>
    <t>090752</t>
  </si>
  <si>
    <t>090756</t>
  </si>
  <si>
    <t>090779</t>
  </si>
  <si>
    <t>090818</t>
  </si>
  <si>
    <t>090820</t>
  </si>
  <si>
    <t>094179</t>
  </si>
  <si>
    <t>P1900400</t>
  </si>
  <si>
    <t>NO</t>
  </si>
  <si>
    <t>0305519010</t>
  </si>
  <si>
    <t>0305519020</t>
  </si>
  <si>
    <t>0305531090</t>
  </si>
  <si>
    <t>2202100000</t>
  </si>
  <si>
    <t>2202910010</t>
  </si>
  <si>
    <t>2202991111</t>
  </si>
  <si>
    <t>2202991119</t>
  </si>
  <si>
    <t>2202991511</t>
  </si>
  <si>
    <t>2202991519</t>
  </si>
  <si>
    <t>2202991911</t>
  </si>
  <si>
    <t>2202991919</t>
  </si>
  <si>
    <t>0303510000</t>
  </si>
  <si>
    <t>0303990075</t>
  </si>
  <si>
    <t>0303541000</t>
  </si>
  <si>
    <t>0303990040</t>
  </si>
  <si>
    <t>0303553000</t>
  </si>
  <si>
    <t>0303559090</t>
  </si>
  <si>
    <t>0303560000</t>
  </si>
  <si>
    <t>0303599000</t>
  </si>
  <si>
    <t>0303699000</t>
  </si>
  <si>
    <t>0303820000</t>
  </si>
  <si>
    <t>0303895500</t>
  </si>
  <si>
    <t>0303899000</t>
  </si>
  <si>
    <t>0303990085</t>
  </si>
  <si>
    <t>0304860000</t>
  </si>
  <si>
    <t>0304992310</t>
  </si>
  <si>
    <t>0304992320</t>
  </si>
  <si>
    <t>0304992330</t>
  </si>
  <si>
    <t>0304910000</t>
  </si>
  <si>
    <t>0304949000</t>
  </si>
  <si>
    <t>0304952100</t>
  </si>
  <si>
    <t>0304952500</t>
  </si>
  <si>
    <t>0304952900</t>
  </si>
  <si>
    <t>0304953000</t>
  </si>
  <si>
    <t>0304954000</t>
  </si>
  <si>
    <t>0304955000</t>
  </si>
  <si>
    <t>0304956000</t>
  </si>
  <si>
    <t>0304959000</t>
  </si>
  <si>
    <t>0304961000</t>
  </si>
  <si>
    <t>0304962000</t>
  </si>
  <si>
    <t>0304963000</t>
  </si>
  <si>
    <t>0304969000</t>
  </si>
  <si>
    <t>0304970000</t>
  </si>
  <si>
    <t>0304999920</t>
  </si>
  <si>
    <t>0304999925</t>
  </si>
  <si>
    <t>0304999940</t>
  </si>
  <si>
    <t>0304999950</t>
  </si>
  <si>
    <t>0304999965</t>
  </si>
  <si>
    <t>0304999969</t>
  </si>
  <si>
    <t>0304999970</t>
  </si>
  <si>
    <t>0304999990</t>
  </si>
  <si>
    <t>0302410000</t>
  </si>
  <si>
    <t>0302990055</t>
  </si>
  <si>
    <t>0304710000</t>
  </si>
  <si>
    <t>0304720000</t>
  </si>
  <si>
    <t>0304730000</t>
  </si>
  <si>
    <t>0304740000</t>
  </si>
  <si>
    <t>0304750000</t>
  </si>
  <si>
    <t>0304791000</t>
  </si>
  <si>
    <t>0304795000</t>
  </si>
  <si>
    <t>0304799000</t>
  </si>
  <si>
    <t>0304831000</t>
  </si>
  <si>
    <t>0304839011</t>
  </si>
  <si>
    <t>0304839019</t>
  </si>
  <si>
    <t>0304839090</t>
  </si>
  <si>
    <t>0304840000</t>
  </si>
  <si>
    <t>0304850000</t>
  </si>
  <si>
    <t>0304889000</t>
  </si>
  <si>
    <t>0304892100</t>
  </si>
  <si>
    <t>0304892900</t>
  </si>
  <si>
    <t>0304896000</t>
  </si>
  <si>
    <t>0304899010</t>
  </si>
  <si>
    <t>0304899030</t>
  </si>
  <si>
    <t>0304899040</t>
  </si>
  <si>
    <t>0304899050</t>
  </si>
  <si>
    <t>0304899060</t>
  </si>
  <si>
    <t>0304899090</t>
  </si>
  <si>
    <t>0305420000</t>
  </si>
  <si>
    <t>0305430000</t>
  </si>
  <si>
    <t>0305440000</t>
  </si>
  <si>
    <t>0305490000</t>
  </si>
  <si>
    <t>0305710010</t>
  </si>
  <si>
    <t>0305640000</t>
  </si>
  <si>
    <t>0305698020</t>
  </si>
  <si>
    <t>0305698030</t>
  </si>
  <si>
    <t>0305698040</t>
  </si>
  <si>
    <t>0305698050</t>
  </si>
  <si>
    <t>0305698061</t>
  </si>
  <si>
    <t>0305698064</t>
  </si>
  <si>
    <t>0305698065</t>
  </si>
  <si>
    <t>0305698067</t>
  </si>
  <si>
    <t>0305698090</t>
  </si>
  <si>
    <t>0305710090</t>
  </si>
  <si>
    <t>0305610000</t>
  </si>
  <si>
    <t>0306150000</t>
  </si>
  <si>
    <t>0306340000</t>
  </si>
  <si>
    <t>0306359012</t>
  </si>
  <si>
    <t>0306359014</t>
  </si>
  <si>
    <t>0306359020</t>
  </si>
  <si>
    <t>0306359092</t>
  </si>
  <si>
    <t>0306359093</t>
  </si>
  <si>
    <t>0306359096</t>
  </si>
  <si>
    <t>0306361011</t>
  </si>
  <si>
    <t>0306361091</t>
  </si>
  <si>
    <t>0306952021</t>
  </si>
  <si>
    <t>0306952029</t>
  </si>
  <si>
    <t>0306953021</t>
  </si>
  <si>
    <t>0306953029</t>
  </si>
  <si>
    <t>1605211020</t>
  </si>
  <si>
    <t>1605211040</t>
  </si>
  <si>
    <t>1605211050</t>
  </si>
  <si>
    <t>1605211091</t>
  </si>
  <si>
    <t>1605219020</t>
  </si>
  <si>
    <t>1605219040</t>
  </si>
  <si>
    <t>1605219057</t>
  </si>
  <si>
    <t>1605219060</t>
  </si>
  <si>
    <t>1605219091</t>
  </si>
  <si>
    <t>1605290020</t>
  </si>
  <si>
    <t>1605290040</t>
  </si>
  <si>
    <t>1605290045</t>
  </si>
  <si>
    <t>1605290091</t>
  </si>
  <si>
    <t>1604129111</t>
  </si>
  <si>
    <t>1604129191</t>
  </si>
  <si>
    <t>1604129915</t>
  </si>
  <si>
    <t>0304894910</t>
  </si>
  <si>
    <t>0304894920</t>
  </si>
  <si>
    <t>0304999911</t>
  </si>
  <si>
    <t>0305100000</t>
  </si>
  <si>
    <t>0406000000</t>
  </si>
  <si>
    <t>090793</t>
  </si>
  <si>
    <t>090794</t>
  </si>
  <si>
    <t>090796</t>
  </si>
  <si>
    <t>090811</t>
  </si>
  <si>
    <t>090812</t>
  </si>
  <si>
    <t>090833</t>
  </si>
  <si>
    <t>094226</t>
  </si>
  <si>
    <t>P1900390</t>
  </si>
  <si>
    <t>IS</t>
  </si>
  <si>
    <t>0302130000</t>
  </si>
  <si>
    <t>0302140000</t>
  </si>
  <si>
    <t>0302990030</t>
  </si>
  <si>
    <t>0302990040</t>
  </si>
  <si>
    <t>0304410000</t>
  </si>
  <si>
    <t>0304810000</t>
  </si>
  <si>
    <t>0302230000</t>
  </si>
  <si>
    <t>0302240000</t>
  </si>
  <si>
    <t>0302290000</t>
  </si>
  <si>
    <t>0302560010</t>
  </si>
  <si>
    <t>0302990071</t>
  </si>
  <si>
    <t>0302990079</t>
  </si>
  <si>
    <t>0303320000</t>
  </si>
  <si>
    <t>0303830000</t>
  </si>
  <si>
    <t>0303849000</t>
  </si>
  <si>
    <t>0304310000</t>
  </si>
  <si>
    <t>0304320000</t>
  </si>
  <si>
    <t>0304330000</t>
  </si>
  <si>
    <t>0304390000</t>
  </si>
  <si>
    <t>0304425000</t>
  </si>
  <si>
    <t>0304430000</t>
  </si>
  <si>
    <t>0304443000</t>
  </si>
  <si>
    <t>0304449000</t>
  </si>
  <si>
    <t>0304450000</t>
  </si>
  <si>
    <t>0304460000</t>
  </si>
  <si>
    <t>0304470000</t>
  </si>
  <si>
    <t>0304480000</t>
  </si>
  <si>
    <t>0304491000</t>
  </si>
  <si>
    <t>0304495000</t>
  </si>
  <si>
    <t>0304499030</t>
  </si>
  <si>
    <t>0304499040</t>
  </si>
  <si>
    <t>0304499050</t>
  </si>
  <si>
    <t>0304499060</t>
  </si>
  <si>
    <t>0304499070</t>
  </si>
  <si>
    <t>0304499090</t>
  </si>
  <si>
    <t>0304530000</t>
  </si>
  <si>
    <t>0304540000</t>
  </si>
  <si>
    <t>0304550000</t>
  </si>
  <si>
    <t>0304560000</t>
  </si>
  <si>
    <t>0304570000</t>
  </si>
  <si>
    <t>0304599000</t>
  </si>
  <si>
    <t>0304610000</t>
  </si>
  <si>
    <t>0304620000</t>
  </si>
  <si>
    <t>0304630000</t>
  </si>
  <si>
    <t>0304690000</t>
  </si>
  <si>
    <t>0304825000</t>
  </si>
  <si>
    <t>0304891000</t>
  </si>
  <si>
    <t>0304959011</t>
  </si>
  <si>
    <t>0304959013</t>
  </si>
  <si>
    <t>0304959017</t>
  </si>
  <si>
    <t>0304959019</t>
  </si>
  <si>
    <t>0304959090</t>
  </si>
  <si>
    <t>0204000000</t>
  </si>
  <si>
    <t>0210992100</t>
  </si>
  <si>
    <t>0210992900</t>
  </si>
  <si>
    <t>0210998510</t>
  </si>
  <si>
    <t>0406105010</t>
  </si>
  <si>
    <t>091100</t>
  </si>
  <si>
    <t>091101</t>
  </si>
  <si>
    <t>091103</t>
  </si>
  <si>
    <t>091104</t>
  </si>
  <si>
    <t>091118</t>
  </si>
  <si>
    <t>091130</t>
  </si>
  <si>
    <t>091133</t>
  </si>
  <si>
    <t>091137</t>
  </si>
  <si>
    <t>091193</t>
  </si>
  <si>
    <t>P1900250</t>
  </si>
  <si>
    <t>MA</t>
  </si>
  <si>
    <t>1702500000</t>
  </si>
  <si>
    <t>097501</t>
  </si>
  <si>
    <t>097502</t>
  </si>
  <si>
    <t>097503</t>
  </si>
  <si>
    <t>097504</t>
  </si>
  <si>
    <t>097505</t>
  </si>
  <si>
    <t>097506</t>
  </si>
  <si>
    <t>097507</t>
  </si>
  <si>
    <t>097508</t>
  </si>
  <si>
    <t>097509</t>
  </si>
  <si>
    <t>097510</t>
  </si>
  <si>
    <t>097511</t>
  </si>
  <si>
    <t>097512</t>
  </si>
  <si>
    <t>097525</t>
  </si>
  <si>
    <t>097526</t>
  </si>
  <si>
    <t>097527</t>
  </si>
  <si>
    <t>097528</t>
  </si>
  <si>
    <t>097529</t>
  </si>
  <si>
    <t>097530</t>
  </si>
  <si>
    <t>097531</t>
  </si>
  <si>
    <t>097532</t>
  </si>
  <si>
    <t>097533</t>
  </si>
  <si>
    <t>097534</t>
  </si>
  <si>
    <t>P1900230</t>
  </si>
  <si>
    <t>097140</t>
  </si>
  <si>
    <t>097141</t>
  </si>
  <si>
    <t>097142</t>
  </si>
  <si>
    <t>097143</t>
  </si>
  <si>
    <t>097144</t>
  </si>
  <si>
    <t>097145</t>
  </si>
  <si>
    <t>097146</t>
  </si>
  <si>
    <t>097147</t>
  </si>
  <si>
    <t>097148</t>
  </si>
  <si>
    <t>097161</t>
  </si>
  <si>
    <t>097162</t>
  </si>
  <si>
    <t>097163</t>
  </si>
  <si>
    <t>097230</t>
  </si>
  <si>
    <t>097231</t>
  </si>
  <si>
    <t>097232</t>
  </si>
  <si>
    <t>097233</t>
  </si>
  <si>
    <t>097234</t>
  </si>
  <si>
    <t>097235</t>
  </si>
  <si>
    <t>097236</t>
  </si>
  <si>
    <t>097237</t>
  </si>
  <si>
    <t>EC</t>
  </si>
  <si>
    <t>CO</t>
  </si>
  <si>
    <t>097170</t>
  </si>
  <si>
    <t>097171</t>
  </si>
  <si>
    <t>097172</t>
  </si>
  <si>
    <t>097173</t>
  </si>
  <si>
    <t>097174</t>
  </si>
  <si>
    <t>097175</t>
  </si>
  <si>
    <t>097176</t>
  </si>
  <si>
    <t>097177</t>
  </si>
  <si>
    <t>097178</t>
  </si>
  <si>
    <t>097179</t>
  </si>
  <si>
    <t>097192</t>
  </si>
  <si>
    <t>097193</t>
  </si>
  <si>
    <t>097194</t>
  </si>
  <si>
    <t>097195</t>
  </si>
  <si>
    <t>097196</t>
  </si>
  <si>
    <t>097197</t>
  </si>
  <si>
    <t>097198</t>
  </si>
  <si>
    <t>097199</t>
  </si>
  <si>
    <t>097200</t>
  </si>
  <si>
    <t>097201</t>
  </si>
  <si>
    <t>097202</t>
  </si>
  <si>
    <t>097203</t>
  </si>
  <si>
    <t>097204</t>
  </si>
  <si>
    <t>097205</t>
  </si>
  <si>
    <t>097210</t>
  </si>
  <si>
    <t>097211</t>
  </si>
  <si>
    <t>097212</t>
  </si>
  <si>
    <t>097213</t>
  </si>
  <si>
    <t>097214</t>
  </si>
  <si>
    <t>097215</t>
  </si>
  <si>
    <t>097216</t>
  </si>
  <si>
    <t>097217</t>
  </si>
  <si>
    <t>097218</t>
  </si>
  <si>
    <t>097219</t>
  </si>
  <si>
    <t>097220</t>
  </si>
  <si>
    <t>097221</t>
  </si>
  <si>
    <t>097222</t>
  </si>
  <si>
    <t>097223</t>
  </si>
  <si>
    <t>097224</t>
  </si>
  <si>
    <t>097225</t>
  </si>
  <si>
    <t>097226</t>
  </si>
  <si>
    <t>097227</t>
  </si>
  <si>
    <t>PE</t>
  </si>
  <si>
    <t>FCFS Quota number 097210 for geography PE : Peru on meat of bovine animals</t>
  </si>
  <si>
    <t>FCFS Quota number 097220 for geography PE : Peru on meat of domestic swine, fresh, chilled or frozen</t>
  </si>
  <si>
    <t>FCFS Quota number 097195 for geography PE : Peru on mackerel of the species scomber scombrus or scomber japonicus</t>
  </si>
  <si>
    <t>FCFS Quota number 097197 for geography PE : Peru on horse mackerel</t>
  </si>
  <si>
    <t>FCFS Quota number 097196 for geography PE : Peru on anchovies</t>
  </si>
  <si>
    <t>FCFS Quota number 097198 for geography PE : Peru on ommastrephes spp., other than ommastrephes sagittatus, nototodarus spp., sepioteuthis spp.</t>
  </si>
  <si>
    <t>FCFS Quota number 097199 for geography PE : Peru on ommastrephes spp., other than ommastrephes sagittatus, nototodarus spp., sepioteuthis spp.</t>
  </si>
  <si>
    <t>FCFS Quota number 097219 for geography PE : Peru on milk and cream, concentrated but not containing added sugar or other sweetening matter, in other forms than powder, granules or other solid forms</t>
  </si>
  <si>
    <t>FCFS Quota number 097225 for geography PE : Peru on yogurt</t>
  </si>
  <si>
    <t>FCFS Quota number 097211 for geography PE : Peru on buttermilk, curdled milk and cream, yogurt, kephir and other fermented or acidified milk and cream, whether or not concentrated or containing added sugar or other sweetening matter or flavoured or containing added fruit, nuts or cocoa (other)</t>
  </si>
  <si>
    <t>FCFS Quota number 097212 for geography PE : Peru on butter and other fats and oils derived from milk; dairy spreads</t>
  </si>
  <si>
    <t>FCFS Quota number 097213 for geography PE : Peru on cheese and curd</t>
  </si>
  <si>
    <t>FCFS Quota number 097214 for geography PE : Peru on garlic</t>
  </si>
  <si>
    <t>FCFS Quota number 097216 for geography PE : Peru on maize (corn), other than seed</t>
  </si>
  <si>
    <t>FCFS Quota number 097222 for geography PE : Peru on rice, other than rice in the husk (paddy or rough) for sowing</t>
  </si>
  <si>
    <t>FCFS Quota number 097200 for geography PE : Peru on mackerel - of the species scomber scombrus and scomber japonicus</t>
  </si>
  <si>
    <t>FCFS Quota number 097201 for geography PE : Peru on mackerel</t>
  </si>
  <si>
    <t>FCFS Quota number 097202 for geography PE : Peru on mackerel</t>
  </si>
  <si>
    <t>FCFS Quota number 097203 for geography PE : Peru on anchovies</t>
  </si>
  <si>
    <t>FCFS Quota number 097204 for geography PE : Peru on prepared or preserved fish - of anchovies</t>
  </si>
  <si>
    <t>FCFS Quota number 097205 for geography PE : Peru on oysters, scallops and other shellfish</t>
  </si>
  <si>
    <t>FCFS Quota number 097215 for geography PE : Peru on ice cream and other edible ice, whether or not containing cocoa</t>
  </si>
  <si>
    <t>FCFS Quota number 097223 for geography PE : Peru on rum and other spirits obtained by distilling fermented sugar-cane products, in containers holding more than 2 litres</t>
  </si>
  <si>
    <t>FCFS Quota number 097170 for geography PE : Peru on other plates, sheets, film, foil and strip, of plastics, non-cellular and not reinforced, laminated, supported or similarly combined with other materials</t>
  </si>
  <si>
    <t>FCFS Quota number 097171 for geography PE : Peru on twine</t>
  </si>
  <si>
    <t>FCFS Quota number 097172 for geography PE : Peru on briefs and panties - of man-made fibres</t>
  </si>
  <si>
    <t>FCFS Quota number 097173 for geography PE : Peru on men's or boys' swimwear - of synthetic fibres</t>
  </si>
  <si>
    <t>FCFS Quota number 097174 for geography PE : Peru on women's or girls' swimwear - of synthetic fibres</t>
  </si>
  <si>
    <t>FCFS Quota number 097175 for geography PE : Peru on 6115100000 - graduated compression hosiery (for example, stockings for varicose veins)</t>
  </si>
  <si>
    <t>FCFS Quota number 097176 for geography PE : Peru on other pantyhose and tights - of synthetic fibres, measuring per single yarn less than 67|decitex</t>
  </si>
  <si>
    <t>FCFS Quota number 097177 for geography PE : Peru on other pantyhose and tights - of synthetic fibres, measuring per single yarn 67|decitex or more</t>
  </si>
  <si>
    <t>FCFS Quota number 097178 for geography PE : Peru on other women's full-length or knee-length hosiery, measuring per single yarn less than 67|decitex</t>
  </si>
  <si>
    <t>FCFS Quota number 097179 for geography PE : Peru on pantyhose, tights, stockings, socks and other hosiery, including graduated compression hosiery (for example, stockings for varicose veins) and footwear without applied soles, knitted or crocheted - of synthetic fibres</t>
  </si>
  <si>
    <t>FCFS Quota number 097192 for geography PE : Peru on stoves, ranges, grates, cookers (including those with subsidiary boilers for central heating), barbecues, braziers, gas rings, plate warmers and similar non-electric domestic appliances, and parts thereof, of iron or steel</t>
  </si>
  <si>
    <t>FCFS Quota number 097193 for geography PE : Peru on table, kitchen or other household articles and parts thereof, of iron or steel; iron or steel wool; pot scourers and scouring or polishing pads, gloves and the like, of iron or steel</t>
  </si>
  <si>
    <t>FCFS Quota number 097194 for geography PE : Peru on other cast articles of iron or steel</t>
  </si>
  <si>
    <t>FCFS Quota number 097525 for geography EC : Ecuador on garlic, fresh or chilled</t>
  </si>
  <si>
    <t>FCFS Quota number 097526 for geography EC : Ecuador on sweetcorn, uncooked or cooked by steaming or by boiling in water, frozen sweetcorn (zea mays var. saccharata), prepared or preserved otherwise than by vinegar or acetic acid</t>
  </si>
  <si>
    <t>FCFS Quota number 097529 for geography EC : Ecuador on maize (excl. seed), maize (corn) flour</t>
  </si>
  <si>
    <t>FCFS Quota number 097530 for geography EC : Ecuador on rice (at exclusion of rice in the husk, for sowing)</t>
  </si>
  <si>
    <t>FCFS Quota number 097531 for geography EC : Ecuador on manioc (cassava) starch</t>
  </si>
  <si>
    <t>FCFS Quota number 097532 for geography EC : Ecuador on raw cane sugar not containing added flavouring or colouring</t>
  </si>
  <si>
    <t>FCFS Quota number 097533 for geography EC : Ecuador on sugar products</t>
  </si>
  <si>
    <t>FCFS Quota number 097534 for geography EC : Ecuador on rum with a content of volatile substances other than ethyl and methyl alcohol equal to or exceeding 225 grams per hectolitre of pure alcohol (with a 10 % tolerance), in containers holding more than 2 litres, rum, in containers holding more than 2 litres, of a value not exceeding eur 2 per litre of pure alcohol</t>
  </si>
  <si>
    <t>FCFS Quota number 097501 for geography EC : Ecuador on other plates, sheets, film, foil and strip, of plastics, non-cellular and not reinforced, laminated, supported or similarly combined with other materials</t>
  </si>
  <si>
    <t>FCFS Quota number 097502 for geography EC : Ecuador on briefs and panties - of man-made fibres</t>
  </si>
  <si>
    <t>FCFS Quota number 097503 for geography EC : Ecuador on men's or boys' swimwear - of synthetic fibres</t>
  </si>
  <si>
    <t>FCFS Quota number 097504 for geography EC : Ecuador on women's or girls' swimwear - of synthetic fibres</t>
  </si>
  <si>
    <t>FCFS Quota number 097505 for geography EC : Ecuador on 6115100000 - graduated compression hosiery (for example, stockings for varicose veins)</t>
  </si>
  <si>
    <t>FCFS Quota number 097506 for geography EC : Ecuador on other pantyhose and tights - of synthetic fibres, measuring per single yarn less than 67|decitex</t>
  </si>
  <si>
    <t>FCFS Quota number 097507 for geography EC : Ecuador on other pantyhose and tights - of synthetic fibres, measuring per single yarn 67|decitex or more</t>
  </si>
  <si>
    <t>FCFS Quota number 097508 for geography EC : Ecuador on other women's full-length or knee-length hosiery, measuring per single yarn less than 67|decitex</t>
  </si>
  <si>
    <t>FCFS Quota number 097509 for geography EC : Ecuador on pantyhose, tights, stockings, socks and other hosiery, including graduated compression hosiery (for example, stockings for varicose veins) and footwear without applied soles, knitted or crocheted - of synthetic fibres</t>
  </si>
  <si>
    <t>FCFS Quota number 097510 for geography EC : Ecuador on stoves, ranges, grates, cookers (including those with subsidiary boilers for central heating), barbecues, braziers, gas rings, plate warmers and similar non-electric domestic appliances, and parts thereof, of iron or steel</t>
  </si>
  <si>
    <t>FCFS Quota number 097511 for geography EC : Ecuador on table, kitchen or other household articles and parts thereof, of iron or steel; iron or steel wool; pot scourers and scouring or polishing pads, gloves and the like, of iron or steel</t>
  </si>
  <si>
    <t>FCFS Quota number 097512 for geography EC : Ecuador on other cast articles of iron or steel</t>
  </si>
  <si>
    <t>FCFS Quota number 097230 for geography CO : Colombia on meat of bovine animals, fresh, chilled or frozen, boneles</t>
  </si>
  <si>
    <t>FCFS Quota number 097237 for geography CO : Colombia on milk and cream, containing added sugar ir other sweetening matter, not in powder, granules or other solid forms</t>
  </si>
  <si>
    <t>FCFS Quota number 097234 for geography CO : Colombia on yogurt</t>
  </si>
  <si>
    <t>FCFS Quota number 097235 for geography CO : Colombia on cane sugar, not containing added flavouring or colouring matter; cane or beet sugar and chemically pure sucrose, in solid form, other than raw sugar not containing added flavouring or colouring matter</t>
  </si>
  <si>
    <t>FCFS Quota number 097232 for geography CO : Colombia on rum and other spirits obtained by distilling fermented sugar-cane products, in containers holding more than 2 litres</t>
  </si>
  <si>
    <t>FCFS Quota number 097140 for geography CO : Colombia on other plates, sheets, film, foil and strip, of plastics, non-cellular and not reinforced, laminated, supported or similarly combined with other materials</t>
  </si>
  <si>
    <t>FCFS Quota number 097141 for geography CO : Colombia on briefs and panties - of man-made fibres</t>
  </si>
  <si>
    <t>FCFS Quota number 097142 for geography CO : Colombia on men's or boys' swimwear - of synthetic fibres</t>
  </si>
  <si>
    <t>FCFS Quota number 097143 for geography CO : Colombia on women's or girls' swimwear - of synthetic fibres</t>
  </si>
  <si>
    <t>FCFS Quota number 097144 for geography CO : Colombia on 6115100000 - graduated compression hosiery (for example, stockings for varicose veins)</t>
  </si>
  <si>
    <t>FCFS Quota number 097145 for geography CO : Colombia on other pantyhose and tights - of synthetic fibres, measuring per single yarn less than 67|decitex</t>
  </si>
  <si>
    <t>FCFS Quota number 097146 for geography CO : Colombia on other pantyhose and tights - of synthetic fibres, measuring per single yarn 67|decitex or more</t>
  </si>
  <si>
    <t>FCFS Quota number 097147 for geography CO : Colombia on other women's full-length or knee-length hosiery, measuring per single yarn less than 67|decitex</t>
  </si>
  <si>
    <t>FCFS Quota number 097148 for geography CO : Colombia on pantyhose, tights, stockings, socks and other hosiery, including graduated compression hosiery (for example, stockings for varicose veins) and footwear without applied soles, knitted or crocheted - of synthetic fibres</t>
  </si>
  <si>
    <t>FCFS Quota number 097161 for geography CO : Colombia on stoves, ranges, grates, cookers (including those with subsidiary boilers for central heating), barbecues, braziers, gas rings, plate warmers and similar non-electric domestic appliances, and parts thereof, of iron or steel</t>
  </si>
  <si>
    <t>FCFS Quota number 097162 for geography CO : Colombia on table, kitchen or other household articles and parts thereof, of iron or steel; iron or steel wool; pot scourers and scouring or polishing pads, gloves and the like, of iron or steel</t>
  </si>
  <si>
    <t>FCFS Quota number 097163 for geography CO : Colombia on other cast articles of iron or steel</t>
  </si>
  <si>
    <t>FCFS Quota number 091300 for geography IL : Israel on new potatoes, fresh or chilled</t>
  </si>
  <si>
    <t>FCFS Quota number 091371 for geography IL : Israel on clementines, mandarins and wilkings, fresh</t>
  </si>
  <si>
    <t>FCFS Quota number 091361 for geography IL : Israel on live turkeys weighing not more than 185 g</t>
  </si>
  <si>
    <t>FCFS Quota number 091302 for geography IL : Israel on whey</t>
  </si>
  <si>
    <t>FCFS Quota number 091306 for geography IL : Israel on fresh cut flowers and flower buds of a kind suitable for bouquets or for ornamental purposes</t>
  </si>
  <si>
    <t>FCFS Quota number 091341 for geography IL : Israel on other fresh cut flowers and flower buds of a kind suitable for bouquets or for ornamental purposes</t>
  </si>
  <si>
    <t>FCFS Quota number 091304 for geography IL : Israel on cherry tomatoes,fresh or chilled</t>
  </si>
  <si>
    <t>FCFS Quota number 091342 for geography IL : Israel on tomatoes, fresh or chilled, other than cherry tomatoes</t>
  </si>
  <si>
    <t>FCFS Quota number 091368 for geography IL : Israel on cucumbers, fresh or chilled</t>
  </si>
  <si>
    <t>FCFS Quota number 091303 for geography IL : Israel on sweet peppers, fresh or chilled</t>
  </si>
  <si>
    <t>FCFS Quota number 091353 for geography IL : Israel on sweetcorn, frozen</t>
  </si>
  <si>
    <t>FCFS Quota number 091354 for geography IL : Israel on sweetcorn, not frozen</t>
  </si>
  <si>
    <t>FCFS Quota number 091369 for geography IL : Israel on dried tomatoes, whole, cut,sliced, broken or in powder,but not further prepared</t>
  </si>
  <si>
    <t>FCFS Quota number 091323 for geography IL : Israel on oranges, fresh</t>
  </si>
  <si>
    <t>FCFS Quota number 091370 for geography IL : Israel on clementines, mandarins and wilkings, fresh</t>
  </si>
  <si>
    <t>FCFS Quota number 091397 for geography IL : Israel on melons fresh, other than watermelons</t>
  </si>
  <si>
    <t>FCFS Quota number 091398 for geography IL : Israel on strawberries, fresh</t>
  </si>
  <si>
    <t>FCFS Quota number 091374 for geography IL : Israel on chewing gum whether or not sugar-coated, not containing cocoa, containing 60 % or more by weight of sucrose (including invert sugar expressed as sucrose)</t>
  </si>
  <si>
    <t>FCFS Quota number 091376 for geography IL : Israel on gingerbread and the like, containing by weight 30 % or  more of sucrose (including invert sugar expressed as sucrose)</t>
  </si>
  <si>
    <t>FCFS Quota number 091377 for geography IL : Israel on tomatoes, prepared or preserved otherwise than by vinegar or acetic acid, with a dry matter content of more than 30 % by weight</t>
  </si>
  <si>
    <t>FCFS Quota number 091378 for geography IL : Israel on slices of peaches, fried in oil, not containing added spirit, with a sugar content exceeding 15 % by weight, in immediate packings of a net content not exceeding 1 kg</t>
  </si>
  <si>
    <t>FCFS Quota number 091333 for geography IL : Israel on orange juice</t>
  </si>
  <si>
    <t>FCFS Quota number 091331 for geography IL : Israel on orange juice</t>
  </si>
  <si>
    <t>FCFS Quota number 091379 for geography IL : Israel on mixtures of citrus juices</t>
  </si>
  <si>
    <t>FCFS Quota number 091380 for geography IL : Israel on wine of fresh grapes, including fortified wines; grape must other than that of heading 2009</t>
  </si>
  <si>
    <t>FCFS Quota number 091399 for geography IL : Israel on glues based on starches, or on dextrins or other modified starches</t>
  </si>
  <si>
    <t>Licensed Quota number 094091 for geography IL on meat and edible offal, of the poultry of heading|0105, fresh, chilled or frozen</t>
  </si>
  <si>
    <t>Licensed Quota number 094092 for geography IL on meat and edible offal, of the poultry of heading|0105, fresh, chilled or frozen</t>
  </si>
  <si>
    <t>FCFS Quota number 090793 for geography IS : Iceland on pacific salmon (oncorhynchus nerka, oncorhynchus gorbuscha, oncorhynchus keta, oncorhynchus tschawytscha, oncorhynchus kisutch, oncorhynchus masou and oncorhynchus rhodurus), atlantic salmon (salmo salar) and danube salmon (hucho hucho)</t>
  </si>
  <si>
    <t>FCFS Quota number 090812 for geography IS : Iceland on herrings of the species clupea harengus or clupea pallasii, frozen, excluding livers and roes.</t>
  </si>
  <si>
    <t>FCFS Quota number 090833 for geography IS : Iceland on sheep or goatmeat</t>
  </si>
  <si>
    <t>Licensed Quota number 094226 for geography IS on skyr</t>
  </si>
  <si>
    <t>FCFS Quota number 090709 for geography NO : Norway on waters, ..., and other non-alcoholic beverages ...</t>
  </si>
  <si>
    <t>FCFS Quota number 090710 for geography NO : Norway on herrings (clupea harengus, clupea pallasii), frozen, excluding livers and roes.</t>
  </si>
  <si>
    <t>FCFS Quota number 090712 for geography NO : Norway on mackerel (scomber scombrus and scomber japonicus), frozen, excluding livers and roes.</t>
  </si>
  <si>
    <t>FCFS Quota number 090713 for geography NO : Norway on other fish, frozen, excluding livers and roes.</t>
  </si>
  <si>
    <t>FCFS Quota number 090722 for geography NO : Norway on frozen meat of swordfish, cod, coalfish, haddock, hake, blue whiting, alaska pollack, saltwater fish, excluding mackerel</t>
  </si>
  <si>
    <t>FCFS Quota number 090723 for geography NO : Norway on herrings (clupea harengus, clupea pallasii), fresh, chilled or frozen</t>
  </si>
  <si>
    <t>FCFS Quota number 090725 for geography NO : Norway on mackerel (scomber scombrus, scomber japonicus), frozen</t>
  </si>
  <si>
    <t>FCFS Quota number 090732 for geography NO : Norway on smoked pacific salmon (oncorhynchus nerka, oncorhynchus gorbuscha, oncorhynchus keta, oncorhynchus tschawytscha, oncorhynchus kisutch, oncorhynchus masou and oncorhynchus rhodurus), atlantic salmon (salmo salar) and danube salmon (hucho hucho)</t>
  </si>
  <si>
    <t>FCFS Quota number 090733 for geography NO : Norway on smoked fish other than pacific salmon (oncorhynchus nerka, oncorhynchus gorbuscha, oncorhynchus keta, oncorhynchus tschawytscha, oncorhynchus kisutch, oncorhynchus masou and oncorhynchus rhodurus), atlantic salmon (salmo salar) and danube salmon (hucho hucho),</t>
  </si>
  <si>
    <t>FCFS Quota number 090734 for geography NO : Norway on other fish, salted but not dried or smoked and fish in brine</t>
  </si>
  <si>
    <t>FCFS Quota number 090735 for geography NO : Norway on herrings (clupea harengus, clupea pallasii), salted but not dried or smoked and herrings in brine</t>
  </si>
  <si>
    <t>FCFS Quota number 090745 for geography NO : Norway on peeled and frozen shrimps and prawns</t>
  </si>
  <si>
    <t>FCFS Quota number 090749 for geography NO : Norway on shrimps and prawns, peeled and frozen, prepared or preserved.</t>
  </si>
  <si>
    <t>FCFS Quota number 090750 for geography NO : Norway on herring, spiced and/or vinegar cured, in brine.</t>
  </si>
  <si>
    <t>FCFS Quota number 090752 for geography NO : Norway on herrings of the species clupea harengus or clupea pallasii, frozen, excluding livers and roes, for industrial processing (a)(2)</t>
  </si>
  <si>
    <t>FCFS Quota number 090756 for geography NO : Norway on fillets of herring, frozen; flaps of herring (butterflies), frozen, for industrial processing (a)(2)</t>
  </si>
  <si>
    <t>FCFS Quota number 090779 for geography NO : Norway on freedingstuffs for fish</t>
  </si>
  <si>
    <t>Licensed Quota number 094179 for geography NO on cheese and curd</t>
  </si>
  <si>
    <t>FCFS Quota number 091618 for geography MG : Madagascar, MU : Mauritius, SC : Seychelles and dependencies on preserved tuna</t>
  </si>
  <si>
    <t>FCFS Quota number 091619 for geography MG : Madagascar, MU : Mauritius, SC : Seychelles and dependencies on tuna loins</t>
  </si>
  <si>
    <t>FCFS Quota number 091100 for geography MA : Morocco on garlic, fresh or chilled</t>
  </si>
  <si>
    <t>FCFS Quota number 091101 for geography MA : Morocco on strawberries, fresh</t>
  </si>
  <si>
    <t>FCFS Quota number 091103 for geography MA : Morocco on chemically pure fructose</t>
  </si>
  <si>
    <t>FCFS Quota number 091104 for geography MA : Morocco on tomatoes, fresh or chilled</t>
  </si>
  <si>
    <t>FCFS Quota number 091118 for geography MA : Morocco on strawberries, fresh</t>
  </si>
  <si>
    <t>FCFS Quota number 091133 for geography MA : Morocco on courgettes, fresh or chilled</t>
  </si>
  <si>
    <t>FCFS Quota number 091137 for geography MA : Morocco on cucumbers, fresh or chilled</t>
  </si>
  <si>
    <t>FCFS Quota number 091193 for geography MA : Morocco on tomatoes, fresh or chilled</t>
  </si>
  <si>
    <t>FCFS Quota number 091133 for geography MA : Morocco on fresh clementines</t>
  </si>
  <si>
    <t>FCFS Quota number 090919 for geography CH : Switzerland on hams of domestic swine, in brine, boneless, enclosed in a bladder or in an artificial gut meat of domestic swine, boneless, from chop, smoked sausages and similar products, of meat, meat offal or blood; food preparations based on these products, of animals of headings, excluding wild boars pork neck, dried in air, seasoned or not, whole, in pieces or thinly sliced</t>
  </si>
  <si>
    <t>FCFS Quota number 091372 for geography IL : Israel on prepared or preserved meat,meat offal or blood of turkeys,containing 57 % or more by weight of poultry meat or offal, other than exclusively uncooked turkey meat. Prepared or preserved meat, meat offal or blood of turkeys, containing 25 % or more but less than 57 % by weight of poultry meat or offal.</t>
  </si>
  <si>
    <t>FCFS Quota number 091375 for geography IL : Israel on cocoa powder containing 5% or more by weight of sucrose (including invert sugar expressed as sucrose) or isoglucose expressed as sucrose. Other food preparations containing cocoa in blocks, slabs or bars weighing more than 2 kg or in liquid, paste, powder, granular or other bulk form in containers or immediate packings, of a content exceeding 2 kg</t>
  </si>
  <si>
    <t>FCFS Quota number 090703 for geography NO : Norway on dried, salted but not smoked cod, excluding cod of the species gadus macrocephalus. Dried, salted but not smoked fish of the species boreogadus saida.</t>
  </si>
  <si>
    <t>FCFS Quota number 090714 for geography NO : Norway on fillets of herrings (clupea harengus, clupea pallasii), frozen. Flaps of herrings (clupea harengus, clupea pallasii), frozen.</t>
  </si>
  <si>
    <t>FCFS Quota number 090730 for geography NO : Norway on frozen fillets of swordfish, cod, coalfish, haddock, redfish, hake, plaice, monkfish, alaska pollack, blue grenadier, other frozen fillets</t>
  </si>
  <si>
    <t>FCFS Quota number 090738 for geography NO : Norway on pandalidae shrimps, not frozen, for processing, norway lobsters (nephrops norvegicus), not frozen</t>
  </si>
  <si>
    <t>FCFS Quota number 090736 for geography NO : Norway on frozen pandalidae shrimps, frozen norway lobsters (nephrops norvegicus)</t>
  </si>
  <si>
    <t>FCFS Quota number 090818 for geography NO : Norway on fillets of mackerel, frozen flaps of mackerel, frozen</t>
  </si>
  <si>
    <t>FCFS Quota number 090820 for geography NO : Norway on flours, meals and pellets of fish, fit for human consumption</t>
  </si>
  <si>
    <t>FCFS Quota number 090796 for geography IS : Iceland on frozen norway lobsters (nephrops norvegicus), frozen norway lobsters (nephrops norvegicus), excluding smoked norway lobsters</t>
  </si>
  <si>
    <t>FCFS Quota number 090811 for geography IS : Iceland on fillets of redfish, fresh or chilled</t>
  </si>
  <si>
    <t>FCFS Quota number 097527 for geography EC : Ecuador on mushrooms of the genus agaricus, provisionally preserved (for example, by sulphur dioxide gas, in brine, in sulphur water or in other preservative solutions), but unsuitable in that state for immediate consumption, mushrooms of the genus agaricus, prepared or preserved otherwise than by vinegar or acetic acid</t>
  </si>
  <si>
    <t>FCFS Quota number 097231 for geography CO : Colombia on mushrooms of the genus agaricus, provisionally preserved, but unsuitable in that state for immediate consumption, mushrooms of the genus agaricus, prepared or preserved otherwise than by vinegar or acetic acid</t>
  </si>
  <si>
    <t>FCFS Quota number 097233 for geography CO : Colombia on sweetcorn, maize (corn), other than sweetcorn (zea mays var. saccharata), otherwise prepared or preserved, not containing added spirit and added sugar</t>
  </si>
  <si>
    <t>FCFS Quota number 097217 for geography PE : Peru on mushrooms of the genus agaricus, provisionally preserved, but unsuitable in that state for immediate consumption, mushrooms of the genus agaricus, prepared or preserved otherwise than by vinegar or acetic acid</t>
  </si>
  <si>
    <t>FCFS Quota number 097226 for geography PE : Peru on cane sugar, not containing added flavouring or colouring matter; cane or beet sugar and chemically pure sucrose, in solid form, other than raw sugar not containing added flavouring or colouring matter, glucose and glucose syrup, not containing fructose or containing in the dry state less than 20 % by weight of fructose, glucose and glucose syrup etc</t>
  </si>
  <si>
    <t>FCFS Quota number 090794 for geography IS : Iceland on sole, megrim and other flat fish, excluding fish fillets and other fish meat, blue whiting, excluding fish fillets and other fish meat, plaice, frozen, excluding fish fillets and other fish meat, toothfish and other saltwater fish, frozen, excluding fish fillets and other fish meat, etc.</t>
  </si>
  <si>
    <t>FCFS Quota number 097528 for geography EC : Ecuador on sweetcorn provisionally preserved, e.g. by sulphur dioxide gas, in brine, in sulphur water or in other preservative solutions, but unsuitable in that state for immediate consumption, sweetcorn (zea mays var. saccharata), prepared or preserved  by vinegar or acetic acid, maize (corn), etc</t>
  </si>
  <si>
    <t>FCFS Quota number 097227 for geography PE : Peru on other sugar confectionery, not containing cocoa, containing 70 % or more by weight of sucrose cocoa powder, containing 65 % or more by weight of sucrose or isoglucose expressed as sucrose other preparations in blocks other food preparations, fruit (excluding tropical fruit and ginger), vegetables, nuts (excluding tropical nuts), jam, fruit juices etc</t>
  </si>
  <si>
    <t>FCFS Quota number 097236 for geography CO : Colombia on other sugar confectionery, not containing cocoa, containing 70% or more by weight of sucrose, cocoa powder, containing 65 % or more by weight of sucrose or isoglucose expressed as sucrose, other preparations in blocks (see regulation), other food preparations of flour, groats, meal, starch or malt extract,(see regulation), etc</t>
  </si>
  <si>
    <t>FCFS Quota number 091373 for geography IL : Israel on prepared or preserved meat, meat offal or blood of fowls of the species gallus domesticus, containing 57% or more by weight of poultry meat or offal, other than uncooked. Prepared or preserved meat, meat offal or blood of fowls of the species gallus domesticus, containing 25% or more but less than 57% by weight of poultry meat or offal.</t>
  </si>
  <si>
    <t>FCFS Quota number 097218 for geography PE : Peru on milk and cream, concentrated or containing added sugar or other sweetening matter, in powder, granules or other solid forms milk and cream, containing added sugar or other sweetening matter, in other forms than powder, granules or other solid forms</t>
  </si>
  <si>
    <t>FCFS Quota number 097221 for geography PE : Peru on meat and edible offal other than livers, of the poultry of heading 0105, fresh, chilled or frozen other meat, salted, in brine, dried or smoked; other edible flours and meals of meat or meat offal, other prepared or preserved meat, meat offal or blood, of liver of any animal or of poultry of heading 0105</t>
  </si>
  <si>
    <t>FCFS Quota number 097224 for geography PE : Peru on sweetcorn, maize (corn), other than sweetcorn (zea mays var. saccharata), otherwise prepared or preserved, not containing added spirit and added sugar</t>
  </si>
  <si>
    <t>Omit</t>
  </si>
  <si>
    <t>country</t>
  </si>
  <si>
    <t>type</t>
  </si>
  <si>
    <t>omit</t>
  </si>
  <si>
    <t>3920000000</t>
  </si>
  <si>
    <t>6108220000</t>
  </si>
  <si>
    <t>6112310000</t>
  </si>
  <si>
    <t>6112410000</t>
  </si>
  <si>
    <t>6115100000</t>
  </si>
  <si>
    <t>6115210000</t>
  </si>
  <si>
    <t>6115220000</t>
  </si>
  <si>
    <t>6115300000</t>
  </si>
  <si>
    <t>6115960000</t>
  </si>
  <si>
    <t>7321000000</t>
  </si>
  <si>
    <t>7323000000</t>
  </si>
  <si>
    <t>7325000000</t>
  </si>
  <si>
    <t>0711510000</t>
  </si>
  <si>
    <t>2003100000</t>
  </si>
  <si>
    <t>2208405100</t>
  </si>
  <si>
    <t>2208409900</t>
  </si>
  <si>
    <t>2008998500</t>
  </si>
  <si>
    <t>1701130000</t>
  </si>
  <si>
    <t>1701140000</t>
  </si>
  <si>
    <t>1701910000</t>
  </si>
  <si>
    <t>1701990000</t>
  </si>
  <si>
    <t>1704909991</t>
  </si>
  <si>
    <t>1704909999</t>
  </si>
  <si>
    <t>1806209592</t>
  </si>
  <si>
    <t>1806209599</t>
  </si>
  <si>
    <t>1901909936</t>
  </si>
  <si>
    <t>2006003190</t>
  </si>
  <si>
    <t>2006003819</t>
  </si>
  <si>
    <t>2006003889</t>
  </si>
  <si>
    <t>2007911090</t>
  </si>
  <si>
    <t>2007992090</t>
  </si>
  <si>
    <t>2007993195</t>
  </si>
  <si>
    <t>2007993199</t>
  </si>
  <si>
    <t>2007993395</t>
  </si>
  <si>
    <t>2007993399</t>
  </si>
  <si>
    <t>2007993595</t>
  </si>
  <si>
    <t>2007993599</t>
  </si>
  <si>
    <t>2007993902</t>
  </si>
  <si>
    <t>2007993904</t>
  </si>
  <si>
    <t>2007993906</t>
  </si>
  <si>
    <t>2007993917</t>
  </si>
  <si>
    <t>2007993919</t>
  </si>
  <si>
    <t>2007993924</t>
  </si>
  <si>
    <t>2007993927</t>
  </si>
  <si>
    <t>2007993930</t>
  </si>
  <si>
    <t>2007993934</t>
  </si>
  <si>
    <t>2007993937</t>
  </si>
  <si>
    <t>2007993940</t>
  </si>
  <si>
    <t>2007993944</t>
  </si>
  <si>
    <t>2007993947</t>
  </si>
  <si>
    <t>2007993952</t>
  </si>
  <si>
    <t>2007993956</t>
  </si>
  <si>
    <t>2007993975</t>
  </si>
  <si>
    <t>2007993985</t>
  </si>
  <si>
    <t>2009119100</t>
  </si>
  <si>
    <t>2009199100</t>
  </si>
  <si>
    <t>2009291119</t>
  </si>
  <si>
    <t>2009291199</t>
  </si>
  <si>
    <t>2009299100</t>
  </si>
  <si>
    <t>2009391119</t>
  </si>
  <si>
    <t>2009391199</t>
  </si>
  <si>
    <t>2009395100</t>
  </si>
  <si>
    <t>2009399100</t>
  </si>
  <si>
    <t>2009491119</t>
  </si>
  <si>
    <t>2009491199</t>
  </si>
  <si>
    <t>2009499100</t>
  </si>
  <si>
    <t>2009691119</t>
  </si>
  <si>
    <t>2009691199</t>
  </si>
  <si>
    <t>2009697100</t>
  </si>
  <si>
    <t>2009697900</t>
  </si>
  <si>
    <t>2009791119</t>
  </si>
  <si>
    <t>2009791199</t>
  </si>
  <si>
    <t>2009811190</t>
  </si>
  <si>
    <t>2009815100</t>
  </si>
  <si>
    <t>2009891119</t>
  </si>
  <si>
    <t>2009891199</t>
  </si>
  <si>
    <t>2009893529</t>
  </si>
  <si>
    <t>2009893539</t>
  </si>
  <si>
    <t>2009893545</t>
  </si>
  <si>
    <t>2009893549</t>
  </si>
  <si>
    <t>2009893559</t>
  </si>
  <si>
    <t>2009893579</t>
  </si>
  <si>
    <t>2009896100</t>
  </si>
  <si>
    <t>2009898600</t>
  </si>
  <si>
    <t>2009901190</t>
  </si>
  <si>
    <t>2009902199</t>
  </si>
  <si>
    <t>2009903100</t>
  </si>
  <si>
    <t>2009907100</t>
  </si>
  <si>
    <t>2009909400</t>
  </si>
  <si>
    <t>2101129892</t>
  </si>
  <si>
    <t>2101209885</t>
  </si>
  <si>
    <t>2106909826</t>
  </si>
  <si>
    <t>2106909833</t>
  </si>
  <si>
    <t>2106909834</t>
  </si>
  <si>
    <t>2106909838</t>
  </si>
  <si>
    <t>2106909853</t>
  </si>
  <si>
    <t>2106909855</t>
  </si>
  <si>
    <t>3302102910</t>
  </si>
  <si>
    <t>0402990000</t>
  </si>
  <si>
    <t>1005900000</t>
  </si>
  <si>
    <t>1102200000</t>
  </si>
  <si>
    <t>1006103000</t>
  </si>
  <si>
    <t>1006105000</t>
  </si>
  <si>
    <t>1006107100</t>
  </si>
  <si>
    <t>1006107900</t>
  </si>
  <si>
    <t>1006200000</t>
  </si>
  <si>
    <t>1006300000</t>
  </si>
  <si>
    <t>1006400000</t>
  </si>
  <si>
    <t>1108140000</t>
  </si>
  <si>
    <t>1702300000</t>
  </si>
  <si>
    <t>1702409000</t>
  </si>
  <si>
    <t>1702903000</t>
  </si>
  <si>
    <t>1702905000</t>
  </si>
  <si>
    <t>1702907100</t>
  </si>
  <si>
    <t>1702907500</t>
  </si>
  <si>
    <t>1702907900</t>
  </si>
  <si>
    <t>1702908000</t>
  </si>
  <si>
    <t>1702909500</t>
  </si>
  <si>
    <t>5607501110</t>
  </si>
  <si>
    <t>5607501910</t>
  </si>
  <si>
    <t>5607503010</t>
  </si>
  <si>
    <t>5607509091</t>
  </si>
  <si>
    <t>5608000000</t>
  </si>
  <si>
    <t>0303591000</t>
  </si>
  <si>
    <t>0303551000</t>
  </si>
  <si>
    <t>0303559010</t>
  </si>
  <si>
    <t>0307439100</t>
  </si>
  <si>
    <t>0307495000</t>
  </si>
  <si>
    <t>1604151100</t>
  </si>
  <si>
    <t>1604151900</t>
  </si>
  <si>
    <t>1604159000</t>
  </si>
  <si>
    <t>1604160000</t>
  </si>
  <si>
    <t>1604204000</t>
  </si>
  <si>
    <t>1605510000</t>
  </si>
  <si>
    <t>1605520000</t>
  </si>
  <si>
    <t>1605531095</t>
  </si>
  <si>
    <t>1605539095</t>
  </si>
  <si>
    <t>1605540000</t>
  </si>
  <si>
    <t>1605550000</t>
  </si>
  <si>
    <t>1605560000</t>
  </si>
  <si>
    <t>1605570000</t>
  </si>
  <si>
    <t>1605580000</t>
  </si>
  <si>
    <t>1605590000</t>
  </si>
  <si>
    <t>0201000000</t>
  </si>
  <si>
    <t>0202000000</t>
  </si>
  <si>
    <t>0206109500</t>
  </si>
  <si>
    <t>0206299100</t>
  </si>
  <si>
    <t>0210200000</t>
  </si>
  <si>
    <t>0210995100</t>
  </si>
  <si>
    <t>0210999000</t>
  </si>
  <si>
    <t>1602501000</t>
  </si>
  <si>
    <t>1602906100</t>
  </si>
  <si>
    <t>0403900000</t>
  </si>
  <si>
    <t>0405000000</t>
  </si>
  <si>
    <t>2105000000</t>
  </si>
  <si>
    <t>0402100000</t>
  </si>
  <si>
    <t>0402210000</t>
  </si>
  <si>
    <t>0402290000</t>
  </si>
  <si>
    <t>0402910000</t>
  </si>
  <si>
    <t>0207410000</t>
  </si>
  <si>
    <t>0207420000</t>
  </si>
  <si>
    <t>0207510000</t>
  </si>
  <si>
    <t>0207520000</t>
  </si>
  <si>
    <t>0207600500</t>
  </si>
  <si>
    <t>0207602100</t>
  </si>
  <si>
    <t>0207603100</t>
  </si>
  <si>
    <t>0207604100</t>
  </si>
  <si>
    <t>0207608100</t>
  </si>
  <si>
    <t>0207609900</t>
  </si>
  <si>
    <t>0210993900</t>
  </si>
  <si>
    <t>1602200000</t>
  </si>
  <si>
    <t>1602310000</t>
  </si>
  <si>
    <t>1602390000</t>
  </si>
  <si>
    <t>2106903000</t>
  </si>
  <si>
    <t>2106905900</t>
  </si>
  <si>
    <t>measure type</t>
  </si>
  <si>
    <t>start date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</si>
</sst>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 x14ac:knownFonts="1">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2">
    <xf numFmtId="0" fontId="0" fillId="0" borderId="0" xfId="0"/>
    <xf numFmtId="0" fontId="1" fillId="2" borderId="0" xfId="0" applyFont="1" applyFill="1"/>
    <xf numFmtId="49" fontId="1" fillId="2" borderId="1" xfId="0" applyNumberFormat="1" applyFont="1" applyFill="1" applyBorder="1"/>
    <xf numFmtId="0" fontId="1" fillId="2" borderId="1" xfId="0" applyFont="1" applyFill="1" applyBorder="1"/>
    <xf numFmtId="49" fontId="0" fillId="0" borderId="1" xfId="0" applyNumberFormat="1" applyBorder="1"/>
    <xf numFmtId="0" fontId="0" fillId="0" borderId="1" xfId="0" applyBorder="1"/>
    <xf numFmtId="0" fontId="1" fillId="2" borderId="1" xfId="0" applyFont="1" applyFill="1" applyBorder="1" applyAlignment="1">
      <alignment horizontal="left"/>
    </xf>
    <xf numFmtId="0" fontId="1" fillId="2" borderId="0" xfId="0" applyFont="1" applyFill="1" applyAlignment="1">
      <alignment horizontal="center"/>
    </xf>
    <xf numFmtId="0" fontId="0" fillId="0" borderId="0" xfId="0" applyAlignment="1">
      <alignment horizontal="center"/>
    </xf>
    <xf numFmtId="0" fontId="1" fillId="2" borderId="1" xfId="0" applyFont="1" applyFill="1" applyBorder="1" applyAlignment="1">
      <alignment horizontal="center"/>
    </xf>
    <xf numFmtId="0" fontId="0" fillId="0" borderId="1" xfId="0" applyBorder="1" applyAlignment="1">
      <alignment horizontal="center"/>
    </xf>
    <xf numFmtId="2" fontId="1" fillId="2" borderId="1" xfId="0" applyNumberFormat="1" applyFont="1" applyFill="1" applyBorder="1" applyAlignment="1">
      <alignment horizontal="left"/>
    </xf>
    <xf numFmtId="2" fontId="0" fillId="0" borderId="1" xfId="0" applyNumberFormat="1" applyBorder="1" applyAlignment="1">
      <alignment horizontal="left"/>
    </xf>
    <xf numFmtId="164" fontId="1" fillId="2" borderId="1" xfId="0" applyNumberFormat="1" applyFont="1" applyFill="1" applyBorder="1" applyAlignment="1">
      <alignment horizontal="left"/>
    </xf>
    <xf numFmtId="164" fontId="0" fillId="0" borderId="1" xfId="0" applyNumberFormat="1" applyBorder="1" applyAlignment="1">
      <alignment horizontal="left"/>
    </xf>
    <xf numFmtId="2" fontId="0" fillId="0" borderId="1" xfId="0" applyNumberFormat="1" applyBorder="1"/>
    <xf numFmtId="0" fontId="1" fillId="2" borderId="1" xfId="0" applyNumberFormat="1" applyFont="1" applyFill="1" applyBorder="1"/>
    <xf numFmtId="0" fontId="0" fillId="3" borderId="1" xfId="0" applyNumberFormat="1" applyFill="1" applyBorder="1"/>
    <xf numFmtId="14" fontId="0" fillId="0" borderId="1" xfId="0" applyNumberFormat="1" applyBorder="1"/>
    <xf numFmtId="164" fontId="0" fillId="4" borderId="1" xfId="0" applyNumberFormat="1" applyFill="1" applyBorder="1" applyAlignment="1">
      <alignment horizontal="left"/>
    </xf>
    <xf numFmtId="1" fontId="0" fillId="3" borderId="1" xfId="0" applyNumberFormat="1" applyFill="1" applyBorder="1" applyAlignment="1">
      <alignment horizontal="center"/>
    </xf>
    <xf numFmtId="164" fontId="1" fillId="2" borderId="1" xfId="0" applyNumberFormat="1" applyFont="1" applyFill="1" applyBorder="1" applyAlignment="1">
      <alignment horizontal="center"/>
    </xf>
    <xf numFmtId="49" fontId="0" fillId="5" borderId="1" xfId="0" applyNumberFormat="1" applyFill="1" applyBorder="1"/>
    <xf numFmtId="49" fontId="1" fillId="2" borderId="1" xfId="0" applyNumberFormat="1" applyFont="1" applyFill="1" applyBorder="1" applyAlignment="1">
      <alignment vertical="top"/>
    </xf>
    <xf numFmtId="0" fontId="1" fillId="2" borderId="1" xfId="0" applyNumberFormat="1" applyFont="1" applyFill="1" applyBorder="1" applyAlignment="1">
      <alignment horizontal="center" vertical="top"/>
    </xf>
    <xf numFmtId="49" fontId="1" fillId="2" borderId="1" xfId="0" applyNumberFormat="1" applyFont="1" applyFill="1" applyBorder="1" applyAlignment="1">
      <alignment horizontal="center" vertical="top"/>
    </xf>
    <xf numFmtId="164" fontId="1" fillId="2" borderId="1" xfId="0" applyNumberFormat="1" applyFont="1" applyFill="1" applyBorder="1" applyAlignment="1">
      <alignment horizontal="left" vertical="top"/>
    </xf>
    <xf numFmtId="0" fontId="1" fillId="2" borderId="1" xfId="0" applyFont="1" applyFill="1" applyBorder="1" applyAlignment="1">
      <alignment horizontal="left" vertical="top" wrapText="1"/>
    </xf>
    <xf numFmtId="0" fontId="1" fillId="2" borderId="1" xfId="0" applyFont="1" applyFill="1" applyBorder="1" applyAlignment="1">
      <alignment horizontal="center" vertical="top"/>
    </xf>
    <xf numFmtId="0" fontId="0" fillId="0" borderId="0" xfId="0" applyAlignment="1">
      <alignment vertical="top"/>
    </xf>
    <xf numFmtId="49" fontId="0" fillId="0" borderId="1" xfId="0" applyNumberFormat="1" applyBorder="1" applyAlignment="1">
      <alignment vertical="top"/>
    </xf>
    <xf numFmtId="0" fontId="0" fillId="0" borderId="1" xfId="0" applyNumberFormat="1" applyBorder="1" applyAlignment="1">
      <alignment horizontal="center" vertical="top"/>
    </xf>
    <xf numFmtId="49" fontId="0" fillId="0" borderId="1" xfId="0" applyNumberFormat="1" applyBorder="1" applyAlignment="1">
      <alignment horizontal="center" vertical="top"/>
    </xf>
    <xf numFmtId="164" fontId="0" fillId="0" borderId="1" xfId="0" applyNumberFormat="1" applyBorder="1" applyAlignment="1">
      <alignment horizontal="left" vertical="top"/>
    </xf>
    <xf numFmtId="0" fontId="0" fillId="0" borderId="1" xfId="0" applyNumberFormat="1" applyBorder="1" applyAlignment="1">
      <alignment vertical="top" wrapText="1"/>
    </xf>
    <xf numFmtId="49" fontId="0" fillId="0" borderId="1" xfId="0" applyNumberFormat="1" applyFill="1" applyBorder="1" applyAlignment="1">
      <alignment vertical="top" wrapText="1"/>
    </xf>
    <xf numFmtId="49" fontId="0" fillId="0" borderId="1" xfId="0" applyNumberFormat="1" applyFill="1" applyBorder="1" applyAlignment="1">
      <alignment horizontal="center" vertical="top"/>
    </xf>
    <xf numFmtId="49" fontId="0" fillId="5" borderId="1" xfId="0" applyNumberFormat="1" applyFill="1" applyBorder="1" applyAlignment="1">
      <alignment vertical="top"/>
    </xf>
    <xf numFmtId="2" fontId="0" fillId="0" borderId="1" xfId="0" applyNumberFormat="1" applyFill="1" applyBorder="1"/>
    <xf numFmtId="0" fontId="0" fillId="0" borderId="1" xfId="0" applyFill="1" applyBorder="1"/>
    <xf numFmtId="0" fontId="0" fillId="0" borderId="1" xfId="0" applyFill="1" applyBorder="1" applyAlignment="1">
      <alignment horizontal="center"/>
    </xf>
    <xf numFmtId="49" fontId="1" fillId="2" borderId="1" xfId="0" applyNumberFormat="1" applyFont="1" applyFill="1" applyBorder="1" applyAlignment="1">
      <alignment horizontal="center"/>
    </xf>
  </cellXfs>
  <cellStyles count="1">
    <cellStyle name="Normal" xfId="0" builtinId="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47B61-A300-4C0E-8E8E-A6ED4285B116}">
  <sheetPr codeName="Sheet1"/>
  <dimension ref="A1:J221"/>
  <sheetViews>
    <sheetView zoomScale="80" zoomScaleNormal="80" workbookViewId="0">
      <pane xSplit="1" ySplit="1" topLeftCell="B196" activePane="bottomRight" state="frozen"/>
      <selection pane="topRight" activeCell="B1" sqref="B1"/>
      <selection pane="bottomLeft" activeCell="A2" sqref="A2"/>
      <selection pane="bottomRight" activeCell="B221" sqref="B221"/>
    </sheetView>
  </sheetViews>
  <sheetFormatPr baseColWidth="10" defaultColWidth="9.1640625" defaultRowHeight="15" x14ac:dyDescent="0.2"/>
  <cols>
    <col min="1" max="1" width="19.5" style="30" bestFit="1" customWidth="1"/>
    <col min="2" max="2" width="19.5" style="32" customWidth="1"/>
    <col min="3" max="3" width="14.5" style="30" customWidth="1"/>
    <col min="4" max="4" width="14.5" style="31" customWidth="1"/>
    <col min="5" max="5" width="44.33203125" style="30" customWidth="1"/>
    <col min="6" max="6" width="12.6640625" style="32" customWidth="1"/>
    <col min="7" max="7" width="31.6640625" style="30" customWidth="1"/>
    <col min="8" max="8" width="23.33203125" style="33" customWidth="1"/>
    <col min="9" max="9" width="226.33203125" style="34" customWidth="1"/>
    <col min="10" max="10" width="17.83203125" style="31" customWidth="1"/>
    <col min="11" max="16384" width="9.1640625" style="29"/>
  </cols>
  <sheetData>
    <row r="1" spans="1:10" ht="16" x14ac:dyDescent="0.2">
      <c r="A1" s="23" t="s">
        <v>0</v>
      </c>
      <c r="B1" s="25" t="s">
        <v>1208</v>
      </c>
      <c r="C1" s="23" t="s">
        <v>87</v>
      </c>
      <c r="D1" s="24" t="s">
        <v>154</v>
      </c>
      <c r="E1" s="23" t="s">
        <v>79</v>
      </c>
      <c r="F1" s="25" t="s">
        <v>2</v>
      </c>
      <c r="G1" s="23" t="s">
        <v>3</v>
      </c>
      <c r="H1" s="26" t="s">
        <v>1</v>
      </c>
      <c r="I1" s="27" t="s">
        <v>78</v>
      </c>
      <c r="J1" s="28" t="s">
        <v>91</v>
      </c>
    </row>
    <row r="2" spans="1:10" ht="32" x14ac:dyDescent="0.2">
      <c r="A2" s="30" t="s">
        <v>92</v>
      </c>
      <c r="C2" s="30" t="s">
        <v>121</v>
      </c>
      <c r="D2" s="31" t="str">
        <f>IF(LEFT(A2,3)="094","Licensed","FCFS")</f>
        <v>FCFS</v>
      </c>
      <c r="E2" s="30" t="s">
        <v>83</v>
      </c>
      <c r="F2" s="32" t="s">
        <v>122</v>
      </c>
      <c r="H2" s="33">
        <v>43568</v>
      </c>
      <c r="I2" s="34" t="s">
        <v>1183</v>
      </c>
      <c r="J2" s="31" t="s">
        <v>77</v>
      </c>
    </row>
    <row r="3" spans="1:10" ht="16" x14ac:dyDescent="0.2">
      <c r="A3" s="30" t="s">
        <v>93</v>
      </c>
      <c r="C3" s="30" t="s">
        <v>121</v>
      </c>
      <c r="D3" s="31" t="str">
        <f t="shared" ref="D3:D66" si="0">IF(LEFT(A3,3)="094","Licensed","FCFS")</f>
        <v>FCFS</v>
      </c>
      <c r="E3" s="30" t="s">
        <v>83</v>
      </c>
      <c r="F3" s="32" t="s">
        <v>122</v>
      </c>
      <c r="H3" s="33">
        <v>43568</v>
      </c>
      <c r="I3" s="34" t="s">
        <v>123</v>
      </c>
      <c r="J3" s="31" t="s">
        <v>77</v>
      </c>
    </row>
    <row r="4" spans="1:10" ht="16" x14ac:dyDescent="0.2">
      <c r="A4" s="30" t="s">
        <v>94</v>
      </c>
      <c r="C4" s="30" t="s">
        <v>121</v>
      </c>
      <c r="D4" s="31" t="str">
        <f t="shared" si="0"/>
        <v>FCFS</v>
      </c>
      <c r="E4" s="30" t="s">
        <v>83</v>
      </c>
      <c r="F4" s="32" t="s">
        <v>122</v>
      </c>
      <c r="H4" s="33">
        <v>43568</v>
      </c>
      <c r="I4" s="34" t="s">
        <v>124</v>
      </c>
      <c r="J4" s="31" t="s">
        <v>77</v>
      </c>
    </row>
    <row r="5" spans="1:10" ht="16" x14ac:dyDescent="0.2">
      <c r="A5" s="30" t="s">
        <v>95</v>
      </c>
      <c r="C5" s="30" t="s">
        <v>121</v>
      </c>
      <c r="D5" s="31" t="str">
        <f t="shared" si="0"/>
        <v>FCFS</v>
      </c>
      <c r="E5" s="30" t="s">
        <v>83</v>
      </c>
      <c r="F5" s="32" t="s">
        <v>122</v>
      </c>
      <c r="H5" s="33">
        <v>43568</v>
      </c>
      <c r="I5" s="34" t="s">
        <v>125</v>
      </c>
      <c r="J5" s="31" t="s">
        <v>77</v>
      </c>
    </row>
    <row r="6" spans="1:10" ht="16" x14ac:dyDescent="0.2">
      <c r="A6" s="30" t="s">
        <v>96</v>
      </c>
      <c r="C6" s="30" t="s">
        <v>121</v>
      </c>
      <c r="D6" s="31" t="str">
        <f t="shared" si="0"/>
        <v>FCFS</v>
      </c>
      <c r="E6" s="30" t="s">
        <v>83</v>
      </c>
      <c r="F6" s="32" t="s">
        <v>122</v>
      </c>
      <c r="H6" s="33">
        <v>43568</v>
      </c>
      <c r="I6" s="34" t="s">
        <v>126</v>
      </c>
      <c r="J6" s="31" t="s">
        <v>77</v>
      </c>
    </row>
    <row r="7" spans="1:10" ht="16" x14ac:dyDescent="0.2">
      <c r="A7" s="30" t="s">
        <v>97</v>
      </c>
      <c r="C7" s="30" t="s">
        <v>121</v>
      </c>
      <c r="D7" s="31" t="str">
        <f t="shared" si="0"/>
        <v>FCFS</v>
      </c>
      <c r="E7" s="30" t="s">
        <v>83</v>
      </c>
      <c r="F7" s="32" t="s">
        <v>122</v>
      </c>
      <c r="H7" s="33">
        <v>43568</v>
      </c>
      <c r="I7" s="34" t="s">
        <v>127</v>
      </c>
      <c r="J7" s="31" t="s">
        <v>77</v>
      </c>
    </row>
    <row r="8" spans="1:10" ht="16" x14ac:dyDescent="0.2">
      <c r="A8" s="30" t="s">
        <v>98</v>
      </c>
      <c r="C8" s="30" t="s">
        <v>121</v>
      </c>
      <c r="D8" s="31" t="str">
        <f t="shared" si="0"/>
        <v>FCFS</v>
      </c>
      <c r="E8" s="30" t="s">
        <v>83</v>
      </c>
      <c r="F8" s="32" t="s">
        <v>122</v>
      </c>
      <c r="H8" s="33">
        <v>43568</v>
      </c>
      <c r="I8" s="34" t="s">
        <v>128</v>
      </c>
      <c r="J8" s="31" t="s">
        <v>77</v>
      </c>
    </row>
    <row r="9" spans="1:10" ht="16" x14ac:dyDescent="0.2">
      <c r="A9" s="30" t="s">
        <v>99</v>
      </c>
      <c r="C9" s="30" t="s">
        <v>121</v>
      </c>
      <c r="D9" s="31" t="str">
        <f t="shared" si="0"/>
        <v>FCFS</v>
      </c>
      <c r="E9" s="30" t="s">
        <v>83</v>
      </c>
      <c r="F9" s="32" t="s">
        <v>122</v>
      </c>
      <c r="H9" s="33">
        <v>43568</v>
      </c>
      <c r="I9" s="34" t="s">
        <v>129</v>
      </c>
      <c r="J9" s="31" t="s">
        <v>77</v>
      </c>
    </row>
    <row r="10" spans="1:10" ht="16" x14ac:dyDescent="0.2">
      <c r="A10" s="30" t="s">
        <v>100</v>
      </c>
      <c r="C10" s="30" t="s">
        <v>121</v>
      </c>
      <c r="D10" s="31" t="str">
        <f t="shared" si="0"/>
        <v>FCFS</v>
      </c>
      <c r="E10" s="30" t="s">
        <v>83</v>
      </c>
      <c r="F10" s="32" t="s">
        <v>122</v>
      </c>
      <c r="H10" s="33">
        <v>43568</v>
      </c>
      <c r="I10" s="34" t="s">
        <v>130</v>
      </c>
      <c r="J10" s="31" t="s">
        <v>77</v>
      </c>
    </row>
    <row r="11" spans="1:10" ht="16" x14ac:dyDescent="0.2">
      <c r="A11" s="30" t="s">
        <v>101</v>
      </c>
      <c r="C11" s="30" t="s">
        <v>121</v>
      </c>
      <c r="D11" s="31" t="str">
        <f t="shared" si="0"/>
        <v>FCFS</v>
      </c>
      <c r="E11" s="30" t="s">
        <v>83</v>
      </c>
      <c r="F11" s="32" t="s">
        <v>122</v>
      </c>
      <c r="H11" s="33">
        <v>43568</v>
      </c>
      <c r="I11" s="34" t="s">
        <v>131</v>
      </c>
      <c r="J11" s="31" t="s">
        <v>77</v>
      </c>
    </row>
    <row r="12" spans="1:10" ht="16" x14ac:dyDescent="0.2">
      <c r="A12" s="30" t="s">
        <v>102</v>
      </c>
      <c r="C12" s="30" t="s">
        <v>121</v>
      </c>
      <c r="D12" s="31" t="str">
        <f t="shared" si="0"/>
        <v>FCFS</v>
      </c>
      <c r="E12" s="30" t="s">
        <v>83</v>
      </c>
      <c r="F12" s="32" t="s">
        <v>122</v>
      </c>
      <c r="H12" s="33">
        <v>43568</v>
      </c>
      <c r="I12" s="34" t="s">
        <v>132</v>
      </c>
      <c r="J12" s="31" t="s">
        <v>77</v>
      </c>
    </row>
    <row r="13" spans="1:10" ht="16" x14ac:dyDescent="0.2">
      <c r="A13" s="30" t="s">
        <v>103</v>
      </c>
      <c r="C13" s="30" t="s">
        <v>121</v>
      </c>
      <c r="D13" s="31" t="str">
        <f t="shared" si="0"/>
        <v>FCFS</v>
      </c>
      <c r="E13" s="30" t="s">
        <v>83</v>
      </c>
      <c r="F13" s="32" t="s">
        <v>122</v>
      </c>
      <c r="H13" s="33">
        <v>43568</v>
      </c>
      <c r="I13" s="34" t="s">
        <v>133</v>
      </c>
      <c r="J13" s="31" t="s">
        <v>77</v>
      </c>
    </row>
    <row r="14" spans="1:10" ht="16" x14ac:dyDescent="0.2">
      <c r="A14" s="30" t="s">
        <v>104</v>
      </c>
      <c r="C14" s="30" t="s">
        <v>121</v>
      </c>
      <c r="D14" s="31" t="str">
        <f t="shared" si="0"/>
        <v>FCFS</v>
      </c>
      <c r="E14" s="30" t="s">
        <v>83</v>
      </c>
      <c r="F14" s="32" t="s">
        <v>122</v>
      </c>
      <c r="H14" s="33">
        <v>43568</v>
      </c>
      <c r="I14" s="34" t="s">
        <v>134</v>
      </c>
      <c r="J14" s="31" t="s">
        <v>77</v>
      </c>
    </row>
    <row r="15" spans="1:10" ht="16" x14ac:dyDescent="0.2">
      <c r="A15" s="30" t="s">
        <v>105</v>
      </c>
      <c r="C15" s="30" t="s">
        <v>121</v>
      </c>
      <c r="D15" s="31" t="str">
        <f t="shared" si="0"/>
        <v>FCFS</v>
      </c>
      <c r="E15" s="30" t="s">
        <v>83</v>
      </c>
      <c r="F15" s="32" t="s">
        <v>122</v>
      </c>
      <c r="H15" s="33">
        <v>43568</v>
      </c>
      <c r="I15" s="34" t="s">
        <v>135</v>
      </c>
      <c r="J15" s="31" t="s">
        <v>77</v>
      </c>
    </row>
    <row r="16" spans="1:10" ht="16" x14ac:dyDescent="0.2">
      <c r="A16" s="30" t="s">
        <v>106</v>
      </c>
      <c r="C16" s="30" t="s">
        <v>121</v>
      </c>
      <c r="D16" s="31" t="str">
        <f t="shared" si="0"/>
        <v>FCFS</v>
      </c>
      <c r="E16" s="30" t="s">
        <v>83</v>
      </c>
      <c r="F16" s="32" t="s">
        <v>122</v>
      </c>
      <c r="H16" s="33">
        <v>43568</v>
      </c>
      <c r="I16" s="34" t="s">
        <v>136</v>
      </c>
      <c r="J16" s="31" t="s">
        <v>77</v>
      </c>
    </row>
    <row r="17" spans="1:10" ht="16" x14ac:dyDescent="0.2">
      <c r="A17" s="30" t="s">
        <v>107</v>
      </c>
      <c r="C17" s="30" t="s">
        <v>121</v>
      </c>
      <c r="D17" s="31" t="str">
        <f t="shared" si="0"/>
        <v>FCFS</v>
      </c>
      <c r="E17" s="30" t="s">
        <v>83</v>
      </c>
      <c r="F17" s="32" t="s">
        <v>122</v>
      </c>
      <c r="H17" s="33">
        <v>43568</v>
      </c>
      <c r="I17" s="34" t="s">
        <v>137</v>
      </c>
      <c r="J17" s="31" t="s">
        <v>77</v>
      </c>
    </row>
    <row r="18" spans="1:10" ht="16" x14ac:dyDescent="0.2">
      <c r="A18" s="30" t="s">
        <v>108</v>
      </c>
      <c r="C18" s="30" t="s">
        <v>121</v>
      </c>
      <c r="D18" s="31" t="str">
        <f t="shared" si="0"/>
        <v>FCFS</v>
      </c>
      <c r="E18" s="30" t="s">
        <v>83</v>
      </c>
      <c r="F18" s="32" t="s">
        <v>122</v>
      </c>
      <c r="H18" s="33">
        <v>43568</v>
      </c>
      <c r="I18" s="34" t="s">
        <v>138</v>
      </c>
      <c r="J18" s="31" t="s">
        <v>77</v>
      </c>
    </row>
    <row r="19" spans="1:10" ht="16" x14ac:dyDescent="0.2">
      <c r="A19" s="30" t="s">
        <v>109</v>
      </c>
      <c r="C19" s="30" t="s">
        <v>121</v>
      </c>
      <c r="D19" s="31" t="str">
        <f t="shared" si="0"/>
        <v>FCFS</v>
      </c>
      <c r="E19" s="30" t="s">
        <v>83</v>
      </c>
      <c r="F19" s="32" t="s">
        <v>122</v>
      </c>
      <c r="H19" s="33">
        <v>43568</v>
      </c>
      <c r="I19" s="34" t="s">
        <v>139</v>
      </c>
      <c r="J19" s="31" t="s">
        <v>77</v>
      </c>
    </row>
    <row r="20" spans="1:10" ht="16" x14ac:dyDescent="0.2">
      <c r="A20" s="30" t="s">
        <v>110</v>
      </c>
      <c r="C20" s="30" t="s">
        <v>121</v>
      </c>
      <c r="D20" s="31" t="str">
        <f t="shared" si="0"/>
        <v>FCFS</v>
      </c>
      <c r="E20" s="30" t="s">
        <v>83</v>
      </c>
      <c r="F20" s="32" t="s">
        <v>122</v>
      </c>
      <c r="H20" s="33">
        <v>43568</v>
      </c>
      <c r="I20" s="34" t="s">
        <v>140</v>
      </c>
      <c r="J20" s="31" t="s">
        <v>77</v>
      </c>
    </row>
    <row r="21" spans="1:10" ht="16" x14ac:dyDescent="0.2">
      <c r="A21" s="30" t="s">
        <v>111</v>
      </c>
      <c r="C21" s="30" t="s">
        <v>121</v>
      </c>
      <c r="D21" s="31" t="str">
        <f t="shared" si="0"/>
        <v>FCFS</v>
      </c>
      <c r="E21" s="30" t="s">
        <v>83</v>
      </c>
      <c r="F21" s="32" t="s">
        <v>122</v>
      </c>
      <c r="H21" s="33">
        <v>43568</v>
      </c>
      <c r="I21" s="34" t="s">
        <v>141</v>
      </c>
      <c r="J21" s="31" t="s">
        <v>77</v>
      </c>
    </row>
    <row r="22" spans="1:10" ht="16" x14ac:dyDescent="0.2">
      <c r="A22" s="30" t="s">
        <v>112</v>
      </c>
      <c r="C22" s="30" t="s">
        <v>121</v>
      </c>
      <c r="D22" s="31" t="str">
        <f t="shared" si="0"/>
        <v>FCFS</v>
      </c>
      <c r="E22" s="30" t="s">
        <v>83</v>
      </c>
      <c r="F22" s="32" t="s">
        <v>122</v>
      </c>
      <c r="H22" s="33">
        <v>43568</v>
      </c>
      <c r="I22" s="34" t="s">
        <v>142</v>
      </c>
      <c r="J22" s="31" t="s">
        <v>77</v>
      </c>
    </row>
    <row r="23" spans="1:10" ht="16" x14ac:dyDescent="0.2">
      <c r="A23" s="30" t="s">
        <v>113</v>
      </c>
      <c r="C23" s="30" t="s">
        <v>121</v>
      </c>
      <c r="D23" s="31" t="str">
        <f t="shared" si="0"/>
        <v>FCFS</v>
      </c>
      <c r="E23" s="30" t="s">
        <v>83</v>
      </c>
      <c r="F23" s="32" t="s">
        <v>122</v>
      </c>
      <c r="H23" s="33">
        <v>43568</v>
      </c>
      <c r="I23" s="34" t="s">
        <v>143</v>
      </c>
      <c r="J23" s="31" t="s">
        <v>77</v>
      </c>
    </row>
    <row r="24" spans="1:10" ht="16" x14ac:dyDescent="0.2">
      <c r="A24" s="30" t="s">
        <v>114</v>
      </c>
      <c r="C24" s="30" t="s">
        <v>121</v>
      </c>
      <c r="D24" s="31" t="str">
        <f t="shared" si="0"/>
        <v>FCFS</v>
      </c>
      <c r="E24" s="30" t="s">
        <v>83</v>
      </c>
      <c r="F24" s="32" t="s">
        <v>122</v>
      </c>
      <c r="H24" s="33">
        <v>43568</v>
      </c>
      <c r="I24" s="34" t="s">
        <v>144</v>
      </c>
      <c r="J24" s="31" t="s">
        <v>77</v>
      </c>
    </row>
    <row r="25" spans="1:10" ht="16" x14ac:dyDescent="0.2">
      <c r="A25" s="30" t="s">
        <v>115</v>
      </c>
      <c r="C25" s="30" t="s">
        <v>121</v>
      </c>
      <c r="D25" s="31" t="str">
        <f t="shared" si="0"/>
        <v>FCFS</v>
      </c>
      <c r="E25" s="30" t="s">
        <v>83</v>
      </c>
      <c r="F25" s="32" t="s">
        <v>122</v>
      </c>
      <c r="H25" s="33">
        <v>43568</v>
      </c>
      <c r="I25" s="34" t="s">
        <v>145</v>
      </c>
      <c r="J25" s="31" t="s">
        <v>77</v>
      </c>
    </row>
    <row r="26" spans="1:10" ht="16" x14ac:dyDescent="0.2">
      <c r="A26" s="30" t="s">
        <v>116</v>
      </c>
      <c r="C26" s="30" t="s">
        <v>121</v>
      </c>
      <c r="D26" s="31" t="str">
        <f t="shared" si="0"/>
        <v>FCFS</v>
      </c>
      <c r="E26" s="30" t="s">
        <v>83</v>
      </c>
      <c r="F26" s="32" t="s">
        <v>122</v>
      </c>
      <c r="H26" s="33">
        <v>43568</v>
      </c>
      <c r="I26" s="34" t="s">
        <v>146</v>
      </c>
      <c r="J26" s="31" t="s">
        <v>77</v>
      </c>
    </row>
    <row r="27" spans="1:10" ht="16" x14ac:dyDescent="0.2">
      <c r="A27" s="30" t="s">
        <v>117</v>
      </c>
      <c r="C27" s="30" t="s">
        <v>121</v>
      </c>
      <c r="D27" s="31" t="str">
        <f t="shared" si="0"/>
        <v>FCFS</v>
      </c>
      <c r="E27" s="30" t="s">
        <v>83</v>
      </c>
      <c r="F27" s="32" t="s">
        <v>122</v>
      </c>
      <c r="H27" s="33">
        <v>43568</v>
      </c>
      <c r="I27" s="34" t="s">
        <v>147</v>
      </c>
      <c r="J27" s="31" t="s">
        <v>77</v>
      </c>
    </row>
    <row r="28" spans="1:10" ht="16" x14ac:dyDescent="0.2">
      <c r="A28" s="30" t="s">
        <v>118</v>
      </c>
      <c r="C28" s="30" t="s">
        <v>121</v>
      </c>
      <c r="D28" s="31" t="str">
        <f t="shared" si="0"/>
        <v>FCFS</v>
      </c>
      <c r="E28" s="30" t="s">
        <v>83</v>
      </c>
      <c r="F28" s="32" t="s">
        <v>122</v>
      </c>
      <c r="H28" s="33">
        <v>43568</v>
      </c>
      <c r="I28" s="34" t="s">
        <v>148</v>
      </c>
      <c r="J28" s="31" t="s">
        <v>77</v>
      </c>
    </row>
    <row r="29" spans="1:10" ht="16" x14ac:dyDescent="0.2">
      <c r="A29" s="30" t="s">
        <v>119</v>
      </c>
      <c r="C29" s="30" t="s">
        <v>121</v>
      </c>
      <c r="D29" s="31" t="str">
        <f t="shared" si="0"/>
        <v>FCFS</v>
      </c>
      <c r="E29" s="30" t="s">
        <v>83</v>
      </c>
      <c r="F29" s="32" t="s">
        <v>122</v>
      </c>
      <c r="H29" s="33">
        <v>43568</v>
      </c>
      <c r="I29" s="34" t="s">
        <v>149</v>
      </c>
      <c r="J29" s="31" t="s">
        <v>77</v>
      </c>
    </row>
    <row r="30" spans="1:10" ht="16" x14ac:dyDescent="0.2">
      <c r="A30" s="30" t="s">
        <v>120</v>
      </c>
      <c r="C30" s="30" t="s">
        <v>121</v>
      </c>
      <c r="D30" s="31" t="str">
        <f t="shared" si="0"/>
        <v>FCFS</v>
      </c>
      <c r="E30" s="30" t="s">
        <v>83</v>
      </c>
      <c r="F30" s="32" t="s">
        <v>122</v>
      </c>
      <c r="H30" s="33">
        <v>43568</v>
      </c>
      <c r="I30" s="34" t="s">
        <v>150</v>
      </c>
      <c r="J30" s="31" t="s">
        <v>77</v>
      </c>
    </row>
    <row r="31" spans="1:10" ht="16" x14ac:dyDescent="0.2">
      <c r="A31" s="30" t="s">
        <v>151</v>
      </c>
      <c r="C31" s="30" t="s">
        <v>121</v>
      </c>
      <c r="D31" s="31" t="str">
        <f t="shared" si="0"/>
        <v>Licensed</v>
      </c>
      <c r="E31" s="30" t="s">
        <v>83</v>
      </c>
      <c r="F31" s="32" t="s">
        <v>122</v>
      </c>
      <c r="H31" s="33">
        <v>43568</v>
      </c>
      <c r="I31" s="34" t="s">
        <v>155</v>
      </c>
      <c r="J31" s="31" t="s">
        <v>77</v>
      </c>
    </row>
    <row r="32" spans="1:10" ht="16" x14ac:dyDescent="0.2">
      <c r="A32" s="30" t="s">
        <v>152</v>
      </c>
      <c r="C32" s="30" t="s">
        <v>121</v>
      </c>
      <c r="D32" s="31" t="str">
        <f t="shared" si="0"/>
        <v>Licensed</v>
      </c>
      <c r="E32" s="30" t="s">
        <v>83</v>
      </c>
      <c r="F32" s="32" t="s">
        <v>122</v>
      </c>
      <c r="H32" s="33">
        <v>43568</v>
      </c>
      <c r="I32" s="34" t="s">
        <v>155</v>
      </c>
      <c r="J32" s="31" t="s">
        <v>77</v>
      </c>
    </row>
    <row r="33" spans="1:10" ht="16" x14ac:dyDescent="0.2">
      <c r="A33" s="30" t="s">
        <v>153</v>
      </c>
      <c r="C33" s="30" t="s">
        <v>121</v>
      </c>
      <c r="D33" s="31" t="str">
        <f t="shared" si="0"/>
        <v>Licensed</v>
      </c>
      <c r="E33" s="30" t="s">
        <v>83</v>
      </c>
      <c r="F33" s="32" t="s">
        <v>122</v>
      </c>
      <c r="H33" s="33">
        <v>43568</v>
      </c>
      <c r="I33" s="34" t="s">
        <v>155</v>
      </c>
      <c r="J33" s="31" t="s">
        <v>77</v>
      </c>
    </row>
    <row r="34" spans="1:10" ht="16" x14ac:dyDescent="0.2">
      <c r="A34" s="30" t="s">
        <v>156</v>
      </c>
      <c r="B34" s="32" t="s">
        <v>192</v>
      </c>
      <c r="C34" s="30" t="s">
        <v>157</v>
      </c>
      <c r="D34" s="31" t="str">
        <f t="shared" si="0"/>
        <v>FCFS</v>
      </c>
      <c r="E34" s="30" t="s">
        <v>83</v>
      </c>
      <c r="F34" s="32" t="s">
        <v>158</v>
      </c>
      <c r="H34" s="33">
        <v>43568</v>
      </c>
      <c r="I34" s="35" t="s">
        <v>159</v>
      </c>
      <c r="J34" s="36" t="s">
        <v>77</v>
      </c>
    </row>
    <row r="35" spans="1:10" ht="16" x14ac:dyDescent="0.2">
      <c r="A35" s="30" t="s">
        <v>160</v>
      </c>
      <c r="B35" s="32" t="s">
        <v>192</v>
      </c>
      <c r="C35" s="30" t="s">
        <v>157</v>
      </c>
      <c r="D35" s="31" t="str">
        <f t="shared" si="0"/>
        <v>FCFS</v>
      </c>
      <c r="E35" s="30" t="s">
        <v>83</v>
      </c>
      <c r="F35" s="32" t="s">
        <v>158</v>
      </c>
      <c r="H35" s="33">
        <v>43568</v>
      </c>
      <c r="I35" s="34" t="s">
        <v>161</v>
      </c>
      <c r="J35" s="36" t="s">
        <v>77</v>
      </c>
    </row>
    <row r="36" spans="1:10" ht="16" x14ac:dyDescent="0.2">
      <c r="A36" s="30" t="s">
        <v>162</v>
      </c>
      <c r="B36" s="32" t="s">
        <v>192</v>
      </c>
      <c r="C36" s="30" t="s">
        <v>157</v>
      </c>
      <c r="D36" s="31" t="str">
        <f t="shared" si="0"/>
        <v>FCFS</v>
      </c>
      <c r="E36" s="30" t="s">
        <v>83</v>
      </c>
      <c r="F36" s="32" t="s">
        <v>158</v>
      </c>
      <c r="H36" s="33">
        <v>43568</v>
      </c>
      <c r="I36" s="34" t="s">
        <v>163</v>
      </c>
      <c r="J36" s="36" t="s">
        <v>77</v>
      </c>
    </row>
    <row r="37" spans="1:10" ht="16" x14ac:dyDescent="0.2">
      <c r="A37" s="30" t="s">
        <v>164</v>
      </c>
      <c r="B37" s="32" t="s">
        <v>192</v>
      </c>
      <c r="C37" s="30" t="s">
        <v>157</v>
      </c>
      <c r="D37" s="31" t="str">
        <f t="shared" si="0"/>
        <v>FCFS</v>
      </c>
      <c r="E37" s="30" t="s">
        <v>83</v>
      </c>
      <c r="F37" s="32" t="s">
        <v>158</v>
      </c>
      <c r="H37" s="33">
        <v>43568</v>
      </c>
      <c r="I37" s="34" t="s">
        <v>165</v>
      </c>
      <c r="J37" s="36" t="s">
        <v>77</v>
      </c>
    </row>
    <row r="38" spans="1:10" ht="16" x14ac:dyDescent="0.2">
      <c r="A38" s="30" t="s">
        <v>166</v>
      </c>
      <c r="B38" s="32" t="s">
        <v>192</v>
      </c>
      <c r="C38" s="30" t="s">
        <v>157</v>
      </c>
      <c r="D38" s="31" t="str">
        <f t="shared" si="0"/>
        <v>FCFS</v>
      </c>
      <c r="E38" s="30" t="s">
        <v>83</v>
      </c>
      <c r="F38" s="32" t="s">
        <v>158</v>
      </c>
      <c r="H38" s="33">
        <v>43568</v>
      </c>
      <c r="I38" s="34" t="s">
        <v>167</v>
      </c>
      <c r="J38" s="36" t="s">
        <v>77</v>
      </c>
    </row>
    <row r="39" spans="1:10" ht="16" x14ac:dyDescent="0.2">
      <c r="A39" s="30" t="s">
        <v>168</v>
      </c>
      <c r="B39" s="32" t="s">
        <v>192</v>
      </c>
      <c r="C39" s="30" t="s">
        <v>157</v>
      </c>
      <c r="D39" s="31" t="str">
        <f t="shared" si="0"/>
        <v>FCFS</v>
      </c>
      <c r="E39" s="30" t="s">
        <v>83</v>
      </c>
      <c r="F39" s="32" t="s">
        <v>158</v>
      </c>
      <c r="H39" s="33">
        <v>43568</v>
      </c>
      <c r="I39" s="34" t="s">
        <v>169</v>
      </c>
      <c r="J39" s="36" t="s">
        <v>77</v>
      </c>
    </row>
    <row r="40" spans="1:10" ht="16" x14ac:dyDescent="0.2">
      <c r="A40" s="30" t="s">
        <v>170</v>
      </c>
      <c r="B40" s="32" t="s">
        <v>192</v>
      </c>
      <c r="C40" s="30" t="s">
        <v>157</v>
      </c>
      <c r="D40" s="31" t="str">
        <f t="shared" si="0"/>
        <v>FCFS</v>
      </c>
      <c r="E40" s="30" t="s">
        <v>83</v>
      </c>
      <c r="F40" s="32" t="s">
        <v>158</v>
      </c>
      <c r="H40" s="33">
        <v>43568</v>
      </c>
      <c r="I40" s="34" t="s">
        <v>171</v>
      </c>
      <c r="J40" s="36" t="s">
        <v>77</v>
      </c>
    </row>
    <row r="41" spans="1:10" ht="16" x14ac:dyDescent="0.2">
      <c r="A41" s="30" t="s">
        <v>172</v>
      </c>
      <c r="B41" s="32" t="s">
        <v>192</v>
      </c>
      <c r="C41" s="30" t="s">
        <v>157</v>
      </c>
      <c r="D41" s="31" t="str">
        <f t="shared" si="0"/>
        <v>FCFS</v>
      </c>
      <c r="E41" s="30" t="s">
        <v>83</v>
      </c>
      <c r="F41" s="32" t="s">
        <v>158</v>
      </c>
      <c r="H41" s="33">
        <v>43568</v>
      </c>
      <c r="I41" s="34" t="s">
        <v>173</v>
      </c>
      <c r="J41" s="36" t="s">
        <v>77</v>
      </c>
    </row>
    <row r="42" spans="1:10" ht="16" x14ac:dyDescent="0.2">
      <c r="A42" s="30" t="s">
        <v>174</v>
      </c>
      <c r="B42" s="32" t="s">
        <v>192</v>
      </c>
      <c r="C42" s="30" t="s">
        <v>157</v>
      </c>
      <c r="D42" s="31" t="str">
        <f t="shared" si="0"/>
        <v>FCFS</v>
      </c>
      <c r="E42" s="30" t="s">
        <v>83</v>
      </c>
      <c r="F42" s="32" t="s">
        <v>158</v>
      </c>
      <c r="H42" s="33">
        <v>43568</v>
      </c>
      <c r="I42" s="34" t="s">
        <v>175</v>
      </c>
      <c r="J42" s="36" t="s">
        <v>77</v>
      </c>
    </row>
    <row r="43" spans="1:10" ht="16" x14ac:dyDescent="0.2">
      <c r="A43" s="30" t="s">
        <v>176</v>
      </c>
      <c r="B43" s="32" t="s">
        <v>192</v>
      </c>
      <c r="C43" s="30" t="s">
        <v>157</v>
      </c>
      <c r="D43" s="31" t="str">
        <f t="shared" si="0"/>
        <v>FCFS</v>
      </c>
      <c r="E43" s="30" t="s">
        <v>83</v>
      </c>
      <c r="F43" s="32" t="s">
        <v>158</v>
      </c>
      <c r="H43" s="33">
        <v>43568</v>
      </c>
      <c r="I43" s="34" t="s">
        <v>177</v>
      </c>
      <c r="J43" s="36" t="s">
        <v>77</v>
      </c>
    </row>
    <row r="44" spans="1:10" ht="16" x14ac:dyDescent="0.2">
      <c r="A44" s="30" t="s">
        <v>178</v>
      </c>
      <c r="B44" s="32" t="s">
        <v>192</v>
      </c>
      <c r="C44" s="30" t="s">
        <v>157</v>
      </c>
      <c r="D44" s="31" t="str">
        <f t="shared" si="0"/>
        <v>FCFS</v>
      </c>
      <c r="E44" s="30" t="s">
        <v>83</v>
      </c>
      <c r="F44" s="32" t="s">
        <v>158</v>
      </c>
      <c r="H44" s="33">
        <v>43568</v>
      </c>
      <c r="I44" s="34" t="s">
        <v>179</v>
      </c>
      <c r="J44" s="36" t="s">
        <v>77</v>
      </c>
    </row>
    <row r="45" spans="1:10" ht="16" x14ac:dyDescent="0.2">
      <c r="A45" s="30" t="s">
        <v>180</v>
      </c>
      <c r="B45" s="32" t="s">
        <v>192</v>
      </c>
      <c r="C45" s="30" t="s">
        <v>157</v>
      </c>
      <c r="D45" s="31" t="str">
        <f t="shared" si="0"/>
        <v>FCFS</v>
      </c>
      <c r="E45" s="30" t="s">
        <v>83</v>
      </c>
      <c r="F45" s="32" t="s">
        <v>158</v>
      </c>
      <c r="H45" s="33">
        <v>43568</v>
      </c>
      <c r="I45" s="34" t="s">
        <v>181</v>
      </c>
      <c r="J45" s="36" t="s">
        <v>77</v>
      </c>
    </row>
    <row r="46" spans="1:10" ht="16" x14ac:dyDescent="0.2">
      <c r="A46" s="30" t="s">
        <v>182</v>
      </c>
      <c r="B46" s="32" t="s">
        <v>192</v>
      </c>
      <c r="C46" s="30" t="s">
        <v>157</v>
      </c>
      <c r="D46" s="31" t="str">
        <f t="shared" si="0"/>
        <v>FCFS</v>
      </c>
      <c r="E46" s="30" t="s">
        <v>83</v>
      </c>
      <c r="F46" s="32" t="s">
        <v>158</v>
      </c>
      <c r="H46" s="33">
        <v>43568</v>
      </c>
      <c r="I46" s="34" t="s">
        <v>183</v>
      </c>
      <c r="J46" s="36" t="s">
        <v>77</v>
      </c>
    </row>
    <row r="47" spans="1:10" ht="16" x14ac:dyDescent="0.2">
      <c r="A47" s="30" t="s">
        <v>184</v>
      </c>
      <c r="B47" s="32" t="s">
        <v>192</v>
      </c>
      <c r="C47" s="30" t="s">
        <v>157</v>
      </c>
      <c r="D47" s="31" t="str">
        <f t="shared" si="0"/>
        <v>FCFS</v>
      </c>
      <c r="E47" s="30" t="s">
        <v>83</v>
      </c>
      <c r="F47" s="32" t="s">
        <v>158</v>
      </c>
      <c r="H47" s="33">
        <v>43568</v>
      </c>
      <c r="I47" s="34" t="s">
        <v>185</v>
      </c>
      <c r="J47" s="36" t="s">
        <v>77</v>
      </c>
    </row>
    <row r="48" spans="1:10" ht="16" x14ac:dyDescent="0.2">
      <c r="A48" s="30" t="s">
        <v>186</v>
      </c>
      <c r="B48" s="32" t="s">
        <v>192</v>
      </c>
      <c r="C48" s="30" t="s">
        <v>157</v>
      </c>
      <c r="D48" s="31" t="str">
        <f t="shared" si="0"/>
        <v>FCFS</v>
      </c>
      <c r="E48" s="30" t="s">
        <v>83</v>
      </c>
      <c r="F48" s="32" t="s">
        <v>158</v>
      </c>
      <c r="H48" s="33">
        <v>43568</v>
      </c>
      <c r="I48" s="34" t="s">
        <v>187</v>
      </c>
      <c r="J48" s="36" t="s">
        <v>77</v>
      </c>
    </row>
    <row r="49" spans="1:10" ht="16" x14ac:dyDescent="0.2">
      <c r="A49" s="30" t="s">
        <v>188</v>
      </c>
      <c r="B49" s="32" t="s">
        <v>192</v>
      </c>
      <c r="C49" s="30" t="s">
        <v>157</v>
      </c>
      <c r="D49" s="31" t="str">
        <f t="shared" si="0"/>
        <v>FCFS</v>
      </c>
      <c r="E49" s="30" t="s">
        <v>83</v>
      </c>
      <c r="F49" s="32" t="s">
        <v>158</v>
      </c>
      <c r="H49" s="33">
        <v>43568</v>
      </c>
      <c r="I49" s="34" t="s">
        <v>189</v>
      </c>
      <c r="J49" s="36" t="s">
        <v>77</v>
      </c>
    </row>
    <row r="50" spans="1:10" ht="16" x14ac:dyDescent="0.2">
      <c r="A50" s="30" t="s">
        <v>190</v>
      </c>
      <c r="B50" s="32" t="s">
        <v>192</v>
      </c>
      <c r="C50" s="30" t="s">
        <v>157</v>
      </c>
      <c r="D50" s="31" t="str">
        <f t="shared" si="0"/>
        <v>FCFS</v>
      </c>
      <c r="E50" s="30" t="s">
        <v>83</v>
      </c>
      <c r="F50" s="32" t="s">
        <v>158</v>
      </c>
      <c r="H50" s="33">
        <v>43568</v>
      </c>
      <c r="I50" s="34" t="s">
        <v>191</v>
      </c>
      <c r="J50" s="36" t="s">
        <v>77</v>
      </c>
    </row>
    <row r="51" spans="1:10" ht="16" x14ac:dyDescent="0.2">
      <c r="A51" s="30" t="s">
        <v>218</v>
      </c>
      <c r="B51" s="32" t="s">
        <v>192</v>
      </c>
      <c r="C51" s="30" t="s">
        <v>157</v>
      </c>
      <c r="D51" s="31" t="str">
        <f t="shared" si="0"/>
        <v>Licensed</v>
      </c>
      <c r="E51" s="30" t="s">
        <v>83</v>
      </c>
      <c r="F51" s="32" t="s">
        <v>158</v>
      </c>
      <c r="H51" s="33">
        <v>43568</v>
      </c>
      <c r="I51" s="34" t="s">
        <v>155</v>
      </c>
      <c r="J51" s="36"/>
    </row>
    <row r="52" spans="1:10" ht="16" x14ac:dyDescent="0.2">
      <c r="A52" s="30" t="s">
        <v>193</v>
      </c>
      <c r="C52" s="30" t="s">
        <v>194</v>
      </c>
      <c r="D52" s="31" t="str">
        <f t="shared" si="0"/>
        <v>FCFS</v>
      </c>
      <c r="E52" s="30" t="s">
        <v>83</v>
      </c>
      <c r="F52" s="32" t="s">
        <v>195</v>
      </c>
      <c r="H52" s="33">
        <v>43568</v>
      </c>
      <c r="I52" s="34" t="s">
        <v>196</v>
      </c>
      <c r="J52" s="31" t="s">
        <v>77</v>
      </c>
    </row>
    <row r="53" spans="1:10" ht="16" x14ac:dyDescent="0.2">
      <c r="A53" s="30" t="s">
        <v>197</v>
      </c>
      <c r="C53" s="30" t="s">
        <v>194</v>
      </c>
      <c r="D53" s="31" t="str">
        <f t="shared" si="0"/>
        <v>FCFS</v>
      </c>
      <c r="E53" s="30" t="s">
        <v>83</v>
      </c>
      <c r="F53" s="32" t="s">
        <v>195</v>
      </c>
      <c r="H53" s="33">
        <v>43568</v>
      </c>
      <c r="I53" s="34" t="s">
        <v>198</v>
      </c>
      <c r="J53" s="31" t="s">
        <v>77</v>
      </c>
    </row>
    <row r="54" spans="1:10" ht="16" x14ac:dyDescent="0.2">
      <c r="A54" s="30" t="s">
        <v>199</v>
      </c>
      <c r="C54" s="30" t="s">
        <v>194</v>
      </c>
      <c r="D54" s="31" t="str">
        <f t="shared" si="0"/>
        <v>FCFS</v>
      </c>
      <c r="E54" s="30" t="s">
        <v>83</v>
      </c>
      <c r="F54" s="32" t="s">
        <v>195</v>
      </c>
      <c r="H54" s="33">
        <v>43568</v>
      </c>
      <c r="I54" s="34" t="s">
        <v>200</v>
      </c>
      <c r="J54" s="31" t="s">
        <v>77</v>
      </c>
    </row>
    <row r="55" spans="1:10" ht="16" x14ac:dyDescent="0.2">
      <c r="A55" s="30" t="s">
        <v>201</v>
      </c>
      <c r="C55" s="30" t="s">
        <v>194</v>
      </c>
      <c r="D55" s="31" t="str">
        <f t="shared" si="0"/>
        <v>FCFS</v>
      </c>
      <c r="E55" s="30" t="s">
        <v>83</v>
      </c>
      <c r="F55" s="32" t="s">
        <v>195</v>
      </c>
      <c r="H55" s="33">
        <v>43568</v>
      </c>
      <c r="I55" s="34" t="s">
        <v>202</v>
      </c>
      <c r="J55" s="31" t="s">
        <v>77</v>
      </c>
    </row>
    <row r="56" spans="1:10" ht="16" x14ac:dyDescent="0.2">
      <c r="A56" s="30" t="s">
        <v>203</v>
      </c>
      <c r="C56" s="30" t="s">
        <v>194</v>
      </c>
      <c r="D56" s="31" t="str">
        <f t="shared" si="0"/>
        <v>FCFS</v>
      </c>
      <c r="E56" s="30" t="s">
        <v>83</v>
      </c>
      <c r="F56" s="32" t="s">
        <v>195</v>
      </c>
      <c r="H56" s="33">
        <v>43568</v>
      </c>
      <c r="I56" s="34" t="s">
        <v>204</v>
      </c>
      <c r="J56" s="31" t="s">
        <v>77</v>
      </c>
    </row>
    <row r="57" spans="1:10" ht="16" x14ac:dyDescent="0.2">
      <c r="A57" s="30" t="s">
        <v>205</v>
      </c>
      <c r="C57" s="30" t="s">
        <v>194</v>
      </c>
      <c r="D57" s="31" t="str">
        <f t="shared" si="0"/>
        <v>FCFS</v>
      </c>
      <c r="E57" s="30" t="s">
        <v>83</v>
      </c>
      <c r="F57" s="32" t="s">
        <v>195</v>
      </c>
      <c r="H57" s="33">
        <v>43568</v>
      </c>
      <c r="I57" s="34" t="s">
        <v>206</v>
      </c>
      <c r="J57" s="31" t="s">
        <v>77</v>
      </c>
    </row>
    <row r="58" spans="1:10" ht="16" x14ac:dyDescent="0.2">
      <c r="A58" s="30" t="s">
        <v>207</v>
      </c>
      <c r="C58" s="30" t="s">
        <v>194</v>
      </c>
      <c r="D58" s="31" t="str">
        <f t="shared" si="0"/>
        <v>FCFS</v>
      </c>
      <c r="E58" s="30" t="s">
        <v>83</v>
      </c>
      <c r="F58" s="32" t="s">
        <v>195</v>
      </c>
      <c r="H58" s="33">
        <v>43568</v>
      </c>
      <c r="I58" s="34" t="s">
        <v>208</v>
      </c>
      <c r="J58" s="31" t="s">
        <v>77</v>
      </c>
    </row>
    <row r="59" spans="1:10" ht="16" x14ac:dyDescent="0.2">
      <c r="A59" s="30" t="s">
        <v>209</v>
      </c>
      <c r="C59" s="30" t="s">
        <v>194</v>
      </c>
      <c r="D59" s="31" t="str">
        <f t="shared" si="0"/>
        <v>FCFS</v>
      </c>
      <c r="E59" s="30" t="s">
        <v>83</v>
      </c>
      <c r="F59" s="32" t="s">
        <v>195</v>
      </c>
      <c r="H59" s="33">
        <v>43568</v>
      </c>
      <c r="I59" s="34" t="s">
        <v>210</v>
      </c>
      <c r="J59" s="31" t="s">
        <v>77</v>
      </c>
    </row>
    <row r="60" spans="1:10" ht="16" x14ac:dyDescent="0.2">
      <c r="A60" s="30" t="s">
        <v>211</v>
      </c>
      <c r="C60" s="30" t="s">
        <v>194</v>
      </c>
      <c r="D60" s="31" t="str">
        <f t="shared" si="0"/>
        <v>FCFS</v>
      </c>
      <c r="E60" s="30" t="s">
        <v>83</v>
      </c>
      <c r="F60" s="32" t="s">
        <v>195</v>
      </c>
      <c r="H60" s="33">
        <v>43568</v>
      </c>
      <c r="I60" s="34" t="s">
        <v>212</v>
      </c>
      <c r="J60" s="31" t="s">
        <v>77</v>
      </c>
    </row>
    <row r="61" spans="1:10" ht="16" x14ac:dyDescent="0.2">
      <c r="A61" s="30" t="s">
        <v>213</v>
      </c>
      <c r="C61" s="30" t="s">
        <v>194</v>
      </c>
      <c r="D61" s="31" t="str">
        <f t="shared" si="0"/>
        <v>FCFS</v>
      </c>
      <c r="E61" s="30" t="s">
        <v>83</v>
      </c>
      <c r="F61" s="32" t="s">
        <v>195</v>
      </c>
      <c r="H61" s="33">
        <v>43568</v>
      </c>
      <c r="I61" s="34" t="s">
        <v>214</v>
      </c>
      <c r="J61" s="31" t="s">
        <v>77</v>
      </c>
    </row>
    <row r="62" spans="1:10" ht="16" x14ac:dyDescent="0.2">
      <c r="A62" s="30" t="s">
        <v>215</v>
      </c>
      <c r="C62" s="30" t="s">
        <v>194</v>
      </c>
      <c r="D62" s="31" t="str">
        <f t="shared" si="0"/>
        <v>FCFS</v>
      </c>
      <c r="E62" s="30" t="s">
        <v>83</v>
      </c>
      <c r="F62" s="32" t="s">
        <v>195</v>
      </c>
      <c r="H62" s="33">
        <v>43568</v>
      </c>
      <c r="I62" s="34" t="s">
        <v>216</v>
      </c>
      <c r="J62" s="31" t="s">
        <v>77</v>
      </c>
    </row>
    <row r="63" spans="1:10" ht="16" x14ac:dyDescent="0.2">
      <c r="A63" s="30" t="s">
        <v>681</v>
      </c>
      <c r="C63" s="30" t="s">
        <v>713</v>
      </c>
      <c r="D63" s="31" t="str">
        <f t="shared" si="0"/>
        <v>FCFS</v>
      </c>
      <c r="E63" s="30" t="s">
        <v>83</v>
      </c>
      <c r="F63" s="32" t="s">
        <v>712</v>
      </c>
      <c r="H63" s="33">
        <v>43568</v>
      </c>
      <c r="I63" s="34" t="s">
        <v>1122</v>
      </c>
      <c r="J63" s="31" t="s">
        <v>77</v>
      </c>
    </row>
    <row r="64" spans="1:10" ht="16" x14ac:dyDescent="0.2">
      <c r="A64" s="30" t="s">
        <v>682</v>
      </c>
      <c r="C64" s="30" t="s">
        <v>713</v>
      </c>
      <c r="D64" s="31" t="str">
        <f t="shared" si="0"/>
        <v>FCFS</v>
      </c>
      <c r="E64" s="30" t="s">
        <v>83</v>
      </c>
      <c r="F64" s="32" t="s">
        <v>712</v>
      </c>
      <c r="H64" s="33">
        <v>43568</v>
      </c>
      <c r="I64" s="34" t="s">
        <v>1125</v>
      </c>
      <c r="J64" s="31" t="s">
        <v>77</v>
      </c>
    </row>
    <row r="65" spans="1:10" ht="16" x14ac:dyDescent="0.2">
      <c r="A65" s="30" t="s">
        <v>683</v>
      </c>
      <c r="C65" s="30" t="s">
        <v>713</v>
      </c>
      <c r="D65" s="31" t="str">
        <f t="shared" si="0"/>
        <v>FCFS</v>
      </c>
      <c r="E65" s="30" t="s">
        <v>83</v>
      </c>
      <c r="F65" s="32" t="s">
        <v>712</v>
      </c>
      <c r="H65" s="33">
        <v>43568</v>
      </c>
      <c r="I65" s="34" t="s">
        <v>1131</v>
      </c>
      <c r="J65" s="31" t="s">
        <v>77</v>
      </c>
    </row>
    <row r="66" spans="1:10" ht="16" x14ac:dyDescent="0.2">
      <c r="A66" s="30" t="s">
        <v>684</v>
      </c>
      <c r="C66" s="30" t="s">
        <v>713</v>
      </c>
      <c r="D66" s="31" t="str">
        <f t="shared" si="0"/>
        <v>FCFS</v>
      </c>
      <c r="E66" s="30" t="s">
        <v>83</v>
      </c>
      <c r="F66" s="32" t="s">
        <v>712</v>
      </c>
      <c r="H66" s="33">
        <v>43568</v>
      </c>
      <c r="I66" s="34" t="s">
        <v>1128</v>
      </c>
      <c r="J66" s="31" t="s">
        <v>77</v>
      </c>
    </row>
    <row r="67" spans="1:10" ht="16" x14ac:dyDescent="0.2">
      <c r="A67" s="30" t="s">
        <v>685</v>
      </c>
      <c r="C67" s="30" t="s">
        <v>713</v>
      </c>
      <c r="D67" s="31" t="str">
        <f t="shared" ref="D67:D130" si="1">IF(LEFT(A67,3)="094","Licensed","FCFS")</f>
        <v>FCFS</v>
      </c>
      <c r="E67" s="30" t="s">
        <v>83</v>
      </c>
      <c r="F67" s="32" t="s">
        <v>712</v>
      </c>
      <c r="H67" s="33">
        <v>43568</v>
      </c>
      <c r="I67" s="34" t="s">
        <v>1126</v>
      </c>
      <c r="J67" s="31" t="s">
        <v>77</v>
      </c>
    </row>
    <row r="68" spans="1:10" ht="16" x14ac:dyDescent="0.2">
      <c r="A68" s="30" t="s">
        <v>686</v>
      </c>
      <c r="C68" s="30" t="s">
        <v>713</v>
      </c>
      <c r="D68" s="31" t="str">
        <f t="shared" si="1"/>
        <v>FCFS</v>
      </c>
      <c r="E68" s="30" t="s">
        <v>83</v>
      </c>
      <c r="F68" s="32" t="s">
        <v>712</v>
      </c>
      <c r="H68" s="33">
        <v>43568</v>
      </c>
      <c r="I68" s="34" t="s">
        <v>1135</v>
      </c>
      <c r="J68" s="31" t="s">
        <v>77</v>
      </c>
    </row>
    <row r="69" spans="1:10" ht="16" x14ac:dyDescent="0.2">
      <c r="A69" s="30" t="s">
        <v>687</v>
      </c>
      <c r="C69" s="30" t="s">
        <v>713</v>
      </c>
      <c r="D69" s="31" t="str">
        <f t="shared" si="1"/>
        <v>FCFS</v>
      </c>
      <c r="E69" s="30" t="s">
        <v>83</v>
      </c>
      <c r="F69" s="32" t="s">
        <v>712</v>
      </c>
      <c r="H69" s="33">
        <v>43568</v>
      </c>
      <c r="I69" s="34" t="s">
        <v>1144</v>
      </c>
      <c r="J69" s="31" t="s">
        <v>77</v>
      </c>
    </row>
    <row r="70" spans="1:10" ht="16" x14ac:dyDescent="0.2">
      <c r="A70" s="30" t="s">
        <v>688</v>
      </c>
      <c r="C70" s="30" t="s">
        <v>713</v>
      </c>
      <c r="D70" s="31" t="str">
        <f t="shared" si="1"/>
        <v>FCFS</v>
      </c>
      <c r="E70" s="30" t="s">
        <v>83</v>
      </c>
      <c r="F70" s="32" t="s">
        <v>712</v>
      </c>
      <c r="H70" s="33">
        <v>43568</v>
      </c>
      <c r="I70" s="34" t="s">
        <v>1143</v>
      </c>
      <c r="J70" s="31" t="s">
        <v>77</v>
      </c>
    </row>
    <row r="71" spans="1:10" ht="16" x14ac:dyDescent="0.2">
      <c r="A71" s="30" t="s">
        <v>689</v>
      </c>
      <c r="C71" s="30" t="s">
        <v>713</v>
      </c>
      <c r="D71" s="31" t="str">
        <f t="shared" si="1"/>
        <v>FCFS</v>
      </c>
      <c r="E71" s="30" t="s">
        <v>83</v>
      </c>
      <c r="F71" s="32" t="s">
        <v>712</v>
      </c>
      <c r="H71" s="33">
        <v>43568</v>
      </c>
      <c r="I71" s="34" t="s">
        <v>1127</v>
      </c>
      <c r="J71" s="31" t="s">
        <v>77</v>
      </c>
    </row>
    <row r="72" spans="1:10" ht="16" x14ac:dyDescent="0.2">
      <c r="A72" s="30" t="s">
        <v>690</v>
      </c>
      <c r="C72" s="30" t="s">
        <v>713</v>
      </c>
      <c r="D72" s="31" t="str">
        <f t="shared" si="1"/>
        <v>FCFS</v>
      </c>
      <c r="E72" s="30" t="s">
        <v>83</v>
      </c>
      <c r="F72" s="32" t="s">
        <v>712</v>
      </c>
      <c r="H72" s="33">
        <v>43568</v>
      </c>
      <c r="I72" s="34" t="s">
        <v>1129</v>
      </c>
      <c r="J72" s="31" t="s">
        <v>77</v>
      </c>
    </row>
    <row r="73" spans="1:10" ht="16" x14ac:dyDescent="0.2">
      <c r="A73" s="30" t="s">
        <v>691</v>
      </c>
      <c r="C73" s="30" t="s">
        <v>713</v>
      </c>
      <c r="D73" s="31" t="str">
        <f t="shared" si="1"/>
        <v>FCFS</v>
      </c>
      <c r="E73" s="30" t="s">
        <v>83</v>
      </c>
      <c r="F73" s="32" t="s">
        <v>712</v>
      </c>
      <c r="H73" s="33">
        <v>43568</v>
      </c>
      <c r="I73" s="34" t="s">
        <v>1132</v>
      </c>
      <c r="J73" s="31" t="s">
        <v>77</v>
      </c>
    </row>
    <row r="74" spans="1:10" ht="16" x14ac:dyDescent="0.2">
      <c r="A74" s="30" t="s">
        <v>692</v>
      </c>
      <c r="C74" s="30" t="s">
        <v>713</v>
      </c>
      <c r="D74" s="31" t="str">
        <f t="shared" si="1"/>
        <v>FCFS</v>
      </c>
      <c r="E74" s="30" t="s">
        <v>83</v>
      </c>
      <c r="F74" s="32" t="s">
        <v>712</v>
      </c>
      <c r="H74" s="33">
        <v>43568</v>
      </c>
      <c r="I74" s="34" t="s">
        <v>1133</v>
      </c>
      <c r="J74" s="31" t="s">
        <v>77</v>
      </c>
    </row>
    <row r="75" spans="1:10" ht="16" x14ac:dyDescent="0.2">
      <c r="A75" s="30" t="s">
        <v>693</v>
      </c>
      <c r="C75" s="30" t="s">
        <v>713</v>
      </c>
      <c r="D75" s="31" t="str">
        <f t="shared" si="1"/>
        <v>FCFS</v>
      </c>
      <c r="E75" s="30" t="s">
        <v>83</v>
      </c>
      <c r="F75" s="32" t="s">
        <v>712</v>
      </c>
      <c r="H75" s="33">
        <v>43568</v>
      </c>
      <c r="I75" s="34" t="s">
        <v>1124</v>
      </c>
      <c r="J75" s="31" t="s">
        <v>77</v>
      </c>
    </row>
    <row r="76" spans="1:10" ht="16" x14ac:dyDescent="0.2">
      <c r="A76" s="30" t="s">
        <v>694</v>
      </c>
      <c r="C76" s="30" t="s">
        <v>713</v>
      </c>
      <c r="D76" s="31" t="str">
        <f t="shared" si="1"/>
        <v>FCFS</v>
      </c>
      <c r="E76" s="30" t="s">
        <v>83</v>
      </c>
      <c r="F76" s="32" t="s">
        <v>712</v>
      </c>
      <c r="H76" s="33">
        <v>43568</v>
      </c>
      <c r="I76" s="34" t="s">
        <v>1130</v>
      </c>
      <c r="J76" s="31" t="s">
        <v>77</v>
      </c>
    </row>
    <row r="77" spans="1:10" ht="16" x14ac:dyDescent="0.2">
      <c r="A77" s="30" t="s">
        <v>695</v>
      </c>
      <c r="C77" s="30" t="s">
        <v>713</v>
      </c>
      <c r="D77" s="31" t="str">
        <f t="shared" si="1"/>
        <v>FCFS</v>
      </c>
      <c r="E77" s="30" t="s">
        <v>83</v>
      </c>
      <c r="F77" s="32" t="s">
        <v>712</v>
      </c>
      <c r="H77" s="33">
        <v>43568</v>
      </c>
      <c r="I77" s="34" t="s">
        <v>1134</v>
      </c>
      <c r="J77" s="31" t="s">
        <v>77</v>
      </c>
    </row>
    <row r="78" spans="1:10" ht="16" x14ac:dyDescent="0.2">
      <c r="A78" s="30" t="s">
        <v>696</v>
      </c>
      <c r="C78" s="30" t="s">
        <v>713</v>
      </c>
      <c r="D78" s="31" t="str">
        <f t="shared" si="1"/>
        <v>FCFS</v>
      </c>
      <c r="E78" s="30" t="s">
        <v>83</v>
      </c>
      <c r="F78" s="32" t="s">
        <v>712</v>
      </c>
      <c r="H78" s="33">
        <v>43568</v>
      </c>
      <c r="I78" s="34" t="s">
        <v>1136</v>
      </c>
      <c r="J78" s="31" t="s">
        <v>77</v>
      </c>
    </row>
    <row r="79" spans="1:10" ht="16" x14ac:dyDescent="0.2">
      <c r="A79" s="30" t="s">
        <v>697</v>
      </c>
      <c r="C79" s="30" t="s">
        <v>713</v>
      </c>
      <c r="D79" s="31" t="str">
        <f t="shared" si="1"/>
        <v>FCFS</v>
      </c>
      <c r="E79" s="30" t="s">
        <v>83</v>
      </c>
      <c r="F79" s="32" t="s">
        <v>712</v>
      </c>
      <c r="H79" s="33">
        <v>43568</v>
      </c>
      <c r="I79" s="34" t="s">
        <v>1123</v>
      </c>
      <c r="J79" s="31" t="s">
        <v>77</v>
      </c>
    </row>
    <row r="80" spans="1:10" ht="32" x14ac:dyDescent="0.2">
      <c r="A80" s="30" t="s">
        <v>698</v>
      </c>
      <c r="C80" s="30" t="s">
        <v>713</v>
      </c>
      <c r="D80" s="31" t="str">
        <f t="shared" si="1"/>
        <v>FCFS</v>
      </c>
      <c r="E80" s="30" t="s">
        <v>83</v>
      </c>
      <c r="F80" s="32" t="s">
        <v>712</v>
      </c>
      <c r="H80" s="33">
        <v>43568</v>
      </c>
      <c r="I80" s="34" t="s">
        <v>1184</v>
      </c>
      <c r="J80" s="31" t="s">
        <v>77</v>
      </c>
    </row>
    <row r="81" spans="1:10" ht="32" x14ac:dyDescent="0.2">
      <c r="A81" s="30" t="s">
        <v>699</v>
      </c>
      <c r="C81" s="30" t="s">
        <v>713</v>
      </c>
      <c r="D81" s="31" t="str">
        <f t="shared" si="1"/>
        <v>FCFS</v>
      </c>
      <c r="E81" s="30" t="s">
        <v>83</v>
      </c>
      <c r="F81" s="32" t="s">
        <v>712</v>
      </c>
      <c r="H81" s="33">
        <v>43568</v>
      </c>
      <c r="I81" s="34" t="s">
        <v>1204</v>
      </c>
      <c r="J81" s="31" t="s">
        <v>77</v>
      </c>
    </row>
    <row r="82" spans="1:10" ht="16" x14ac:dyDescent="0.2">
      <c r="A82" s="30" t="s">
        <v>700</v>
      </c>
      <c r="C82" s="30" t="s">
        <v>713</v>
      </c>
      <c r="D82" s="31" t="str">
        <f t="shared" si="1"/>
        <v>FCFS</v>
      </c>
      <c r="E82" s="30" t="s">
        <v>83</v>
      </c>
      <c r="F82" s="32" t="s">
        <v>712</v>
      </c>
      <c r="H82" s="33">
        <v>43568</v>
      </c>
      <c r="I82" s="34" t="s">
        <v>1139</v>
      </c>
      <c r="J82" s="31" t="s">
        <v>77</v>
      </c>
    </row>
    <row r="83" spans="1:10" ht="32" x14ac:dyDescent="0.2">
      <c r="A83" s="30" t="s">
        <v>701</v>
      </c>
      <c r="C83" s="30" t="s">
        <v>713</v>
      </c>
      <c r="D83" s="31" t="str">
        <f t="shared" si="1"/>
        <v>FCFS</v>
      </c>
      <c r="E83" s="30" t="s">
        <v>83</v>
      </c>
      <c r="F83" s="32" t="s">
        <v>712</v>
      </c>
      <c r="H83" s="33">
        <v>43568</v>
      </c>
      <c r="I83" s="34" t="s">
        <v>1185</v>
      </c>
      <c r="J83" s="31" t="s">
        <v>77</v>
      </c>
    </row>
    <row r="84" spans="1:10" ht="16" x14ac:dyDescent="0.2">
      <c r="A84" s="30" t="s">
        <v>702</v>
      </c>
      <c r="C84" s="30" t="s">
        <v>713</v>
      </c>
      <c r="D84" s="31" t="str">
        <f t="shared" si="1"/>
        <v>FCFS</v>
      </c>
      <c r="E84" s="30" t="s">
        <v>83</v>
      </c>
      <c r="F84" s="32" t="s">
        <v>712</v>
      </c>
      <c r="H84" s="33">
        <v>43568</v>
      </c>
      <c r="I84" s="34" t="s">
        <v>1140</v>
      </c>
      <c r="J84" s="31" t="s">
        <v>77</v>
      </c>
    </row>
    <row r="85" spans="1:10" ht="16" x14ac:dyDescent="0.2">
      <c r="A85" s="30" t="s">
        <v>703</v>
      </c>
      <c r="C85" s="30" t="s">
        <v>713</v>
      </c>
      <c r="D85" s="31" t="str">
        <f t="shared" si="1"/>
        <v>FCFS</v>
      </c>
      <c r="E85" s="30" t="s">
        <v>83</v>
      </c>
      <c r="F85" s="32" t="s">
        <v>712</v>
      </c>
      <c r="H85" s="33">
        <v>43568</v>
      </c>
      <c r="I85" s="34" t="s">
        <v>1141</v>
      </c>
      <c r="J85" s="31" t="s">
        <v>77</v>
      </c>
    </row>
    <row r="86" spans="1:10" ht="16" x14ac:dyDescent="0.2">
      <c r="A86" s="30" t="s">
        <v>704</v>
      </c>
      <c r="C86" s="30" t="s">
        <v>713</v>
      </c>
      <c r="D86" s="31" t="str">
        <f t="shared" si="1"/>
        <v>FCFS</v>
      </c>
      <c r="E86" s="30" t="s">
        <v>83</v>
      </c>
      <c r="F86" s="32" t="s">
        <v>712</v>
      </c>
      <c r="H86" s="33">
        <v>43568</v>
      </c>
      <c r="I86" s="34" t="s">
        <v>1142</v>
      </c>
      <c r="J86" s="31" t="s">
        <v>77</v>
      </c>
    </row>
    <row r="87" spans="1:10" ht="16" x14ac:dyDescent="0.2">
      <c r="A87" s="30" t="s">
        <v>705</v>
      </c>
      <c r="C87" s="30" t="s">
        <v>713</v>
      </c>
      <c r="D87" s="31" t="str">
        <f t="shared" si="1"/>
        <v>FCFS</v>
      </c>
      <c r="E87" s="30" t="s">
        <v>83</v>
      </c>
      <c r="F87" s="32" t="s">
        <v>712</v>
      </c>
      <c r="H87" s="33">
        <v>43568</v>
      </c>
      <c r="I87" s="34" t="s">
        <v>1145</v>
      </c>
      <c r="J87" s="31" t="s">
        <v>77</v>
      </c>
    </row>
    <row r="88" spans="1:10" ht="16" x14ac:dyDescent="0.2">
      <c r="A88" s="30" t="s">
        <v>706</v>
      </c>
      <c r="C88" s="30" t="s">
        <v>713</v>
      </c>
      <c r="D88" s="31" t="str">
        <f t="shared" si="1"/>
        <v>FCFS</v>
      </c>
      <c r="E88" s="30" t="s">
        <v>83</v>
      </c>
      <c r="F88" s="32" t="s">
        <v>712</v>
      </c>
      <c r="H88" s="33">
        <v>43568</v>
      </c>
      <c r="I88" s="34" t="s">
        <v>1146</v>
      </c>
      <c r="J88" s="31" t="s">
        <v>77</v>
      </c>
    </row>
    <row r="89" spans="1:10" ht="16" x14ac:dyDescent="0.2">
      <c r="A89" s="30" t="s">
        <v>707</v>
      </c>
      <c r="C89" s="30" t="s">
        <v>713</v>
      </c>
      <c r="D89" s="31" t="str">
        <f t="shared" si="1"/>
        <v>FCFS</v>
      </c>
      <c r="E89" s="30" t="s">
        <v>83</v>
      </c>
      <c r="F89" s="32" t="s">
        <v>712</v>
      </c>
      <c r="H89" s="33">
        <v>43568</v>
      </c>
      <c r="I89" s="34" t="s">
        <v>1137</v>
      </c>
      <c r="J89" s="31" t="s">
        <v>77</v>
      </c>
    </row>
    <row r="90" spans="1:10" ht="16" x14ac:dyDescent="0.2">
      <c r="A90" s="30" t="s">
        <v>708</v>
      </c>
      <c r="C90" s="30" t="s">
        <v>713</v>
      </c>
      <c r="D90" s="31" t="str">
        <f t="shared" si="1"/>
        <v>FCFS</v>
      </c>
      <c r="E90" s="30" t="s">
        <v>83</v>
      </c>
      <c r="F90" s="32" t="s">
        <v>712</v>
      </c>
      <c r="H90" s="33">
        <v>43568</v>
      </c>
      <c r="I90" s="34" t="s">
        <v>1138</v>
      </c>
      <c r="J90" s="31" t="s">
        <v>77</v>
      </c>
    </row>
    <row r="91" spans="1:10" ht="16" x14ac:dyDescent="0.2">
      <c r="A91" s="30" t="s">
        <v>709</v>
      </c>
      <c r="C91" s="30" t="s">
        <v>713</v>
      </c>
      <c r="D91" s="31" t="str">
        <f t="shared" si="1"/>
        <v>FCFS</v>
      </c>
      <c r="E91" s="30" t="s">
        <v>83</v>
      </c>
      <c r="F91" s="32" t="s">
        <v>712</v>
      </c>
      <c r="H91" s="33">
        <v>43568</v>
      </c>
      <c r="I91" s="34" t="s">
        <v>1147</v>
      </c>
      <c r="J91" s="31" t="s">
        <v>77</v>
      </c>
    </row>
    <row r="92" spans="1:10" ht="16" x14ac:dyDescent="0.2">
      <c r="A92" s="30" t="s">
        <v>710</v>
      </c>
      <c r="C92" s="30" t="s">
        <v>713</v>
      </c>
      <c r="D92" s="31" t="str">
        <f t="shared" si="1"/>
        <v>Licensed</v>
      </c>
      <c r="E92" s="30" t="s">
        <v>83</v>
      </c>
      <c r="F92" s="32" t="s">
        <v>712</v>
      </c>
      <c r="H92" s="33">
        <v>43568</v>
      </c>
      <c r="I92" s="34" t="s">
        <v>1148</v>
      </c>
      <c r="J92" s="31" t="s">
        <v>77</v>
      </c>
    </row>
    <row r="93" spans="1:10" ht="16" x14ac:dyDescent="0.2">
      <c r="A93" s="30" t="s">
        <v>711</v>
      </c>
      <c r="C93" s="30" t="s">
        <v>713</v>
      </c>
      <c r="D93" s="31" t="str">
        <f t="shared" si="1"/>
        <v>Licensed</v>
      </c>
      <c r="E93" s="30" t="s">
        <v>83</v>
      </c>
      <c r="F93" s="32" t="s">
        <v>712</v>
      </c>
      <c r="H93" s="33">
        <v>43568</v>
      </c>
      <c r="I93" s="34" t="s">
        <v>1149</v>
      </c>
      <c r="J93" s="31" t="s">
        <v>77</v>
      </c>
    </row>
    <row r="94" spans="1:10" ht="16" x14ac:dyDescent="0.2">
      <c r="A94" s="30" t="s">
        <v>715</v>
      </c>
      <c r="C94" s="30" t="s">
        <v>717</v>
      </c>
      <c r="D94" s="31" t="str">
        <f t="shared" si="1"/>
        <v>FCFS</v>
      </c>
      <c r="E94" s="30" t="s">
        <v>83</v>
      </c>
      <c r="F94" s="32" t="s">
        <v>718</v>
      </c>
      <c r="H94" s="33">
        <v>43568</v>
      </c>
      <c r="I94" s="34" t="s">
        <v>1172</v>
      </c>
      <c r="J94" s="31" t="s">
        <v>77</v>
      </c>
    </row>
    <row r="95" spans="1:10" ht="16" x14ac:dyDescent="0.2">
      <c r="A95" s="30" t="s">
        <v>716</v>
      </c>
      <c r="C95" s="30" t="s">
        <v>717</v>
      </c>
      <c r="D95" s="31" t="str">
        <f t="shared" si="1"/>
        <v>FCFS</v>
      </c>
      <c r="E95" s="30" t="s">
        <v>83</v>
      </c>
      <c r="F95" s="32" t="s">
        <v>718</v>
      </c>
      <c r="H95" s="33">
        <v>43568</v>
      </c>
      <c r="I95" s="34" t="s">
        <v>1173</v>
      </c>
      <c r="J95" s="31" t="s">
        <v>77</v>
      </c>
    </row>
    <row r="96" spans="1:10" ht="16" x14ac:dyDescent="0.2">
      <c r="A96" s="30" t="s">
        <v>727</v>
      </c>
      <c r="C96" s="30" t="s">
        <v>752</v>
      </c>
      <c r="D96" s="31" t="str">
        <f t="shared" si="1"/>
        <v>FCFS</v>
      </c>
      <c r="E96" s="30" t="s">
        <v>83</v>
      </c>
      <c r="F96" s="32" t="s">
        <v>753</v>
      </c>
      <c r="H96" s="33">
        <v>43568</v>
      </c>
      <c r="I96" s="34" t="s">
        <v>1186</v>
      </c>
      <c r="J96" s="31" t="s">
        <v>77</v>
      </c>
    </row>
    <row r="97" spans="1:10" ht="16" x14ac:dyDescent="0.2">
      <c r="A97" s="30" t="s">
        <v>728</v>
      </c>
      <c r="C97" s="30" t="s">
        <v>752</v>
      </c>
      <c r="D97" s="31" t="str">
        <f t="shared" si="1"/>
        <v>FCFS</v>
      </c>
      <c r="E97" s="30" t="s">
        <v>83</v>
      </c>
      <c r="F97" s="32" t="s">
        <v>753</v>
      </c>
      <c r="H97" s="33">
        <v>43568</v>
      </c>
      <c r="I97" s="34" t="s">
        <v>1154</v>
      </c>
      <c r="J97" s="31" t="s">
        <v>77</v>
      </c>
    </row>
    <row r="98" spans="1:10" ht="16" x14ac:dyDescent="0.2">
      <c r="A98" s="30" t="s">
        <v>729</v>
      </c>
      <c r="C98" s="30" t="s">
        <v>752</v>
      </c>
      <c r="D98" s="31" t="str">
        <f t="shared" si="1"/>
        <v>FCFS</v>
      </c>
      <c r="E98" s="30" t="s">
        <v>83</v>
      </c>
      <c r="F98" s="32" t="s">
        <v>753</v>
      </c>
      <c r="H98" s="33">
        <v>43568</v>
      </c>
      <c r="I98" s="34" t="s">
        <v>1155</v>
      </c>
      <c r="J98" s="31" t="s">
        <v>77</v>
      </c>
    </row>
    <row r="99" spans="1:10" ht="16" x14ac:dyDescent="0.2">
      <c r="A99" s="30" t="s">
        <v>730</v>
      </c>
      <c r="C99" s="30" t="s">
        <v>752</v>
      </c>
      <c r="D99" s="31" t="str">
        <f t="shared" si="1"/>
        <v>FCFS</v>
      </c>
      <c r="E99" s="30" t="s">
        <v>83</v>
      </c>
      <c r="F99" s="32" t="s">
        <v>753</v>
      </c>
      <c r="H99" s="33">
        <v>43568</v>
      </c>
      <c r="I99" s="34" t="s">
        <v>1156</v>
      </c>
      <c r="J99" s="31" t="s">
        <v>77</v>
      </c>
    </row>
    <row r="100" spans="1:10" ht="16" x14ac:dyDescent="0.2">
      <c r="A100" s="30" t="s">
        <v>731</v>
      </c>
      <c r="C100" s="30" t="s">
        <v>752</v>
      </c>
      <c r="D100" s="31" t="str">
        <f t="shared" si="1"/>
        <v>FCFS</v>
      </c>
      <c r="E100" s="30" t="s">
        <v>83</v>
      </c>
      <c r="F100" s="32" t="s">
        <v>753</v>
      </c>
      <c r="H100" s="33">
        <v>43568</v>
      </c>
      <c r="I100" s="34" t="s">
        <v>1157</v>
      </c>
      <c r="J100" s="31" t="s">
        <v>77</v>
      </c>
    </row>
    <row r="101" spans="1:10" ht="16" x14ac:dyDescent="0.2">
      <c r="A101" s="30" t="s">
        <v>732</v>
      </c>
      <c r="C101" s="30" t="s">
        <v>752</v>
      </c>
      <c r="D101" s="31" t="str">
        <f t="shared" si="1"/>
        <v>FCFS</v>
      </c>
      <c r="E101" s="30" t="s">
        <v>83</v>
      </c>
      <c r="F101" s="32" t="s">
        <v>753</v>
      </c>
      <c r="H101" s="33">
        <v>43568</v>
      </c>
      <c r="I101" s="34" t="s">
        <v>1187</v>
      </c>
      <c r="J101" s="31" t="s">
        <v>77</v>
      </c>
    </row>
    <row r="102" spans="1:10" ht="16" x14ac:dyDescent="0.2">
      <c r="A102" s="30" t="s">
        <v>733</v>
      </c>
      <c r="C102" s="30" t="s">
        <v>752</v>
      </c>
      <c r="D102" s="31" t="str">
        <f t="shared" si="1"/>
        <v>FCFS</v>
      </c>
      <c r="E102" s="30" t="s">
        <v>83</v>
      </c>
      <c r="F102" s="32" t="s">
        <v>753</v>
      </c>
      <c r="H102" s="33">
        <v>43568</v>
      </c>
      <c r="I102" s="34" t="s">
        <v>1158</v>
      </c>
      <c r="J102" s="31" t="s">
        <v>77</v>
      </c>
    </row>
    <row r="103" spans="1:10" ht="16" x14ac:dyDescent="0.2">
      <c r="A103" s="30" t="s">
        <v>734</v>
      </c>
      <c r="C103" s="30" t="s">
        <v>752</v>
      </c>
      <c r="D103" s="31" t="str">
        <f t="shared" si="1"/>
        <v>FCFS</v>
      </c>
      <c r="E103" s="30" t="s">
        <v>83</v>
      </c>
      <c r="F103" s="32" t="s">
        <v>753</v>
      </c>
      <c r="H103" s="33">
        <v>43568</v>
      </c>
      <c r="I103" s="34" t="s">
        <v>1159</v>
      </c>
      <c r="J103" s="31" t="s">
        <v>77</v>
      </c>
    </row>
    <row r="104" spans="1:10" ht="16" x14ac:dyDescent="0.2">
      <c r="A104" s="30" t="s">
        <v>735</v>
      </c>
      <c r="C104" s="30" t="s">
        <v>752</v>
      </c>
      <c r="D104" s="31" t="str">
        <f t="shared" si="1"/>
        <v>FCFS</v>
      </c>
      <c r="E104" s="30" t="s">
        <v>83</v>
      </c>
      <c r="F104" s="32" t="s">
        <v>753</v>
      </c>
      <c r="H104" s="33">
        <v>43568</v>
      </c>
      <c r="I104" s="34" t="s">
        <v>1160</v>
      </c>
      <c r="J104" s="31" t="s">
        <v>77</v>
      </c>
    </row>
    <row r="105" spans="1:10" ht="16" x14ac:dyDescent="0.2">
      <c r="A105" s="30" t="s">
        <v>736</v>
      </c>
      <c r="C105" s="30" t="s">
        <v>752</v>
      </c>
      <c r="D105" s="31" t="str">
        <f t="shared" si="1"/>
        <v>FCFS</v>
      </c>
      <c r="E105" s="30" t="s">
        <v>83</v>
      </c>
      <c r="F105" s="32" t="s">
        <v>753</v>
      </c>
      <c r="H105" s="33">
        <v>43568</v>
      </c>
      <c r="I105" s="34" t="s">
        <v>1188</v>
      </c>
      <c r="J105" s="31" t="s">
        <v>77</v>
      </c>
    </row>
    <row r="106" spans="1:10" ht="32" x14ac:dyDescent="0.2">
      <c r="A106" s="30" t="s">
        <v>737</v>
      </c>
      <c r="C106" s="30" t="s">
        <v>752</v>
      </c>
      <c r="D106" s="31" t="str">
        <f t="shared" si="1"/>
        <v>FCFS</v>
      </c>
      <c r="E106" s="30" t="s">
        <v>83</v>
      </c>
      <c r="F106" s="32" t="s">
        <v>753</v>
      </c>
      <c r="H106" s="33">
        <v>43568</v>
      </c>
      <c r="I106" s="34" t="s">
        <v>1161</v>
      </c>
      <c r="J106" s="31" t="s">
        <v>77</v>
      </c>
    </row>
    <row r="107" spans="1:10" ht="32" x14ac:dyDescent="0.2">
      <c r="A107" s="30" t="s">
        <v>738</v>
      </c>
      <c r="C107" s="30" t="s">
        <v>752</v>
      </c>
      <c r="D107" s="31" t="str">
        <f t="shared" si="1"/>
        <v>FCFS</v>
      </c>
      <c r="E107" s="30" t="s">
        <v>83</v>
      </c>
      <c r="F107" s="32" t="s">
        <v>753</v>
      </c>
      <c r="H107" s="33">
        <v>43568</v>
      </c>
      <c r="I107" s="34" t="s">
        <v>1162</v>
      </c>
      <c r="J107" s="31" t="s">
        <v>77</v>
      </c>
    </row>
    <row r="108" spans="1:10" ht="16" x14ac:dyDescent="0.2">
      <c r="A108" s="30" t="s">
        <v>739</v>
      </c>
      <c r="C108" s="30" t="s">
        <v>752</v>
      </c>
      <c r="D108" s="31" t="str">
        <f t="shared" si="1"/>
        <v>FCFS</v>
      </c>
      <c r="E108" s="30" t="s">
        <v>83</v>
      </c>
      <c r="F108" s="32" t="s">
        <v>753</v>
      </c>
      <c r="H108" s="33">
        <v>43568</v>
      </c>
      <c r="I108" s="34" t="s">
        <v>1163</v>
      </c>
      <c r="J108" s="31" t="s">
        <v>77</v>
      </c>
    </row>
    <row r="109" spans="1:10" ht="16" x14ac:dyDescent="0.2">
      <c r="A109" s="30" t="s">
        <v>740</v>
      </c>
      <c r="C109" s="30" t="s">
        <v>752</v>
      </c>
      <c r="D109" s="31" t="str">
        <f t="shared" si="1"/>
        <v>FCFS</v>
      </c>
      <c r="E109" s="30" t="s">
        <v>83</v>
      </c>
      <c r="F109" s="32" t="s">
        <v>753</v>
      </c>
      <c r="H109" s="33">
        <v>43568</v>
      </c>
      <c r="I109" s="34" t="s">
        <v>1164</v>
      </c>
      <c r="J109" s="31" t="s">
        <v>77</v>
      </c>
    </row>
    <row r="110" spans="1:10" ht="16" x14ac:dyDescent="0.2">
      <c r="A110" s="30" t="s">
        <v>741</v>
      </c>
      <c r="C110" s="30" t="s">
        <v>752</v>
      </c>
      <c r="D110" s="31" t="str">
        <f t="shared" si="1"/>
        <v>FCFS</v>
      </c>
      <c r="E110" s="30" t="s">
        <v>83</v>
      </c>
      <c r="F110" s="32" t="s">
        <v>753</v>
      </c>
      <c r="H110" s="33">
        <v>43568</v>
      </c>
      <c r="I110" s="34" t="s">
        <v>1190</v>
      </c>
      <c r="J110" s="31" t="s">
        <v>77</v>
      </c>
    </row>
    <row r="111" spans="1:10" ht="16" x14ac:dyDescent="0.2">
      <c r="A111" s="30" t="s">
        <v>742</v>
      </c>
      <c r="C111" s="30" t="s">
        <v>752</v>
      </c>
      <c r="D111" s="31" t="str">
        <f t="shared" si="1"/>
        <v>FCFS</v>
      </c>
      <c r="E111" s="30" t="s">
        <v>83</v>
      </c>
      <c r="F111" s="32" t="s">
        <v>753</v>
      </c>
      <c r="H111" s="33">
        <v>43568</v>
      </c>
      <c r="I111" s="34" t="s">
        <v>1189</v>
      </c>
      <c r="J111" s="31" t="s">
        <v>77</v>
      </c>
    </row>
    <row r="112" spans="1:10" ht="16" x14ac:dyDescent="0.2">
      <c r="A112" s="30" t="s">
        <v>743</v>
      </c>
      <c r="C112" s="30" t="s">
        <v>752</v>
      </c>
      <c r="D112" s="31" t="str">
        <f t="shared" si="1"/>
        <v>FCFS</v>
      </c>
      <c r="E112" s="30" t="s">
        <v>83</v>
      </c>
      <c r="F112" s="32" t="s">
        <v>753</v>
      </c>
      <c r="H112" s="33">
        <v>43568</v>
      </c>
      <c r="I112" s="34" t="s">
        <v>1165</v>
      </c>
      <c r="J112" s="31" t="s">
        <v>77</v>
      </c>
    </row>
    <row r="113" spans="1:10" ht="16" x14ac:dyDescent="0.2">
      <c r="A113" s="30" t="s">
        <v>744</v>
      </c>
      <c r="C113" s="30" t="s">
        <v>752</v>
      </c>
      <c r="D113" s="31" t="str">
        <f t="shared" si="1"/>
        <v>FCFS</v>
      </c>
      <c r="E113" s="30" t="s">
        <v>83</v>
      </c>
      <c r="F113" s="32" t="s">
        <v>753</v>
      </c>
      <c r="H113" s="33">
        <v>43568</v>
      </c>
      <c r="I113" s="34" t="s">
        <v>1166</v>
      </c>
      <c r="J113" s="31" t="s">
        <v>77</v>
      </c>
    </row>
    <row r="114" spans="1:10" ht="16" x14ac:dyDescent="0.2">
      <c r="A114" s="30" t="s">
        <v>745</v>
      </c>
      <c r="C114" s="30" t="s">
        <v>752</v>
      </c>
      <c r="D114" s="31" t="str">
        <f t="shared" si="1"/>
        <v>FCFS</v>
      </c>
      <c r="E114" s="30" t="s">
        <v>83</v>
      </c>
      <c r="F114" s="32" t="s">
        <v>753</v>
      </c>
      <c r="H114" s="33">
        <v>43568</v>
      </c>
      <c r="I114" s="34" t="s">
        <v>1167</v>
      </c>
      <c r="J114" s="31" t="s">
        <v>77</v>
      </c>
    </row>
    <row r="115" spans="1:10" ht="16" x14ac:dyDescent="0.2">
      <c r="A115" s="30" t="s">
        <v>746</v>
      </c>
      <c r="C115" s="30" t="s">
        <v>752</v>
      </c>
      <c r="D115" s="31" t="str">
        <f t="shared" si="1"/>
        <v>FCFS</v>
      </c>
      <c r="E115" s="30" t="s">
        <v>83</v>
      </c>
      <c r="F115" s="32" t="s">
        <v>753</v>
      </c>
      <c r="H115" s="33">
        <v>43568</v>
      </c>
      <c r="I115" s="34" t="s">
        <v>1168</v>
      </c>
      <c r="J115" s="31" t="s">
        <v>77</v>
      </c>
    </row>
    <row r="116" spans="1:10" ht="16" x14ac:dyDescent="0.2">
      <c r="A116" s="30" t="s">
        <v>747</v>
      </c>
      <c r="C116" s="30" t="s">
        <v>752</v>
      </c>
      <c r="D116" s="31" t="str">
        <f t="shared" si="1"/>
        <v>FCFS</v>
      </c>
      <c r="E116" s="30" t="s">
        <v>83</v>
      </c>
      <c r="F116" s="32" t="s">
        <v>753</v>
      </c>
      <c r="H116" s="33">
        <v>43568</v>
      </c>
      <c r="I116" s="34" t="s">
        <v>1169</v>
      </c>
      <c r="J116" s="31" t="s">
        <v>77</v>
      </c>
    </row>
    <row r="117" spans="1:10" ht="16" x14ac:dyDescent="0.2">
      <c r="A117" s="30" t="s">
        <v>748</v>
      </c>
      <c r="C117" s="30" t="s">
        <v>752</v>
      </c>
      <c r="D117" s="31" t="str">
        <f t="shared" si="1"/>
        <v>FCFS</v>
      </c>
      <c r="E117" s="30" t="s">
        <v>83</v>
      </c>
      <c r="F117" s="32" t="s">
        <v>753</v>
      </c>
      <c r="H117" s="33">
        <v>43568</v>
      </c>
      <c r="I117" s="34" t="s">
        <v>1170</v>
      </c>
      <c r="J117" s="31" t="s">
        <v>77</v>
      </c>
    </row>
    <row r="118" spans="1:10" ht="16" x14ac:dyDescent="0.2">
      <c r="A118" s="30" t="s">
        <v>749</v>
      </c>
      <c r="C118" s="30" t="s">
        <v>752</v>
      </c>
      <c r="D118" s="31" t="str">
        <f t="shared" si="1"/>
        <v>FCFS</v>
      </c>
      <c r="E118" s="30" t="s">
        <v>83</v>
      </c>
      <c r="F118" s="32" t="s">
        <v>753</v>
      </c>
      <c r="H118" s="33">
        <v>43568</v>
      </c>
      <c r="I118" s="34" t="s">
        <v>1191</v>
      </c>
      <c r="J118" s="31" t="s">
        <v>77</v>
      </c>
    </row>
    <row r="119" spans="1:10" ht="16" x14ac:dyDescent="0.2">
      <c r="A119" s="30" t="s">
        <v>750</v>
      </c>
      <c r="C119" s="30" t="s">
        <v>752</v>
      </c>
      <c r="D119" s="31" t="str">
        <f t="shared" si="1"/>
        <v>FCFS</v>
      </c>
      <c r="E119" s="30" t="s">
        <v>83</v>
      </c>
      <c r="F119" s="32" t="s">
        <v>753</v>
      </c>
      <c r="H119" s="33">
        <v>43568</v>
      </c>
      <c r="I119" s="34" t="s">
        <v>1192</v>
      </c>
      <c r="J119" s="31" t="s">
        <v>77</v>
      </c>
    </row>
    <row r="120" spans="1:10" ht="16" x14ac:dyDescent="0.2">
      <c r="A120" s="30" t="s">
        <v>751</v>
      </c>
      <c r="C120" s="30" t="s">
        <v>752</v>
      </c>
      <c r="D120" s="31" t="str">
        <f t="shared" si="1"/>
        <v>Licensed</v>
      </c>
      <c r="E120" s="30" t="s">
        <v>83</v>
      </c>
      <c r="F120" s="32" t="s">
        <v>753</v>
      </c>
      <c r="H120" s="33">
        <v>43568</v>
      </c>
      <c r="I120" s="34" t="s">
        <v>1171</v>
      </c>
      <c r="J120" s="31" t="s">
        <v>77</v>
      </c>
    </row>
    <row r="121" spans="1:10" ht="32" x14ac:dyDescent="0.2">
      <c r="A121" s="30" t="s">
        <v>883</v>
      </c>
      <c r="C121" s="30" t="s">
        <v>890</v>
      </c>
      <c r="D121" s="31" t="str">
        <f t="shared" si="1"/>
        <v>FCFS</v>
      </c>
      <c r="E121" s="30" t="s">
        <v>83</v>
      </c>
      <c r="F121" s="32" t="s">
        <v>891</v>
      </c>
      <c r="H121" s="33">
        <v>43568</v>
      </c>
      <c r="I121" s="34" t="s">
        <v>1150</v>
      </c>
      <c r="J121" s="31" t="s">
        <v>77</v>
      </c>
    </row>
    <row r="122" spans="1:10" ht="32" x14ac:dyDescent="0.2">
      <c r="A122" s="30" t="s">
        <v>884</v>
      </c>
      <c r="C122" s="30" t="s">
        <v>890</v>
      </c>
      <c r="D122" s="31" t="str">
        <f t="shared" si="1"/>
        <v>FCFS</v>
      </c>
      <c r="E122" s="30" t="s">
        <v>83</v>
      </c>
      <c r="F122" s="32" t="s">
        <v>891</v>
      </c>
      <c r="H122" s="33">
        <v>43568</v>
      </c>
      <c r="I122" s="34" t="s">
        <v>1200</v>
      </c>
      <c r="J122" s="31" t="s">
        <v>77</v>
      </c>
    </row>
    <row r="123" spans="1:10" ht="16" x14ac:dyDescent="0.2">
      <c r="A123" s="30" t="s">
        <v>885</v>
      </c>
      <c r="C123" s="30" t="s">
        <v>890</v>
      </c>
      <c r="D123" s="31" t="str">
        <f t="shared" si="1"/>
        <v>FCFS</v>
      </c>
      <c r="E123" s="30" t="s">
        <v>83</v>
      </c>
      <c r="F123" s="32" t="s">
        <v>891</v>
      </c>
      <c r="H123" s="33">
        <v>43568</v>
      </c>
      <c r="I123" s="34" t="s">
        <v>1193</v>
      </c>
      <c r="J123" s="31" t="s">
        <v>77</v>
      </c>
    </row>
    <row r="124" spans="1:10" ht="16" x14ac:dyDescent="0.2">
      <c r="A124" s="30" t="s">
        <v>886</v>
      </c>
      <c r="C124" s="30" t="s">
        <v>890</v>
      </c>
      <c r="D124" s="31" t="str">
        <f t="shared" si="1"/>
        <v>FCFS</v>
      </c>
      <c r="E124" s="30" t="s">
        <v>83</v>
      </c>
      <c r="F124" s="32" t="s">
        <v>891</v>
      </c>
      <c r="H124" s="33">
        <v>43568</v>
      </c>
      <c r="I124" s="34" t="s">
        <v>1194</v>
      </c>
      <c r="J124" s="31" t="s">
        <v>77</v>
      </c>
    </row>
    <row r="125" spans="1:10" ht="16" x14ac:dyDescent="0.2">
      <c r="A125" s="30" t="s">
        <v>887</v>
      </c>
      <c r="C125" s="30" t="s">
        <v>890</v>
      </c>
      <c r="D125" s="31" t="str">
        <f t="shared" si="1"/>
        <v>FCFS</v>
      </c>
      <c r="E125" s="30" t="s">
        <v>83</v>
      </c>
      <c r="F125" s="32" t="s">
        <v>891</v>
      </c>
      <c r="H125" s="33">
        <v>43568</v>
      </c>
      <c r="I125" s="34" t="s">
        <v>1151</v>
      </c>
      <c r="J125" s="31" t="s">
        <v>77</v>
      </c>
    </row>
    <row r="126" spans="1:10" ht="16" x14ac:dyDescent="0.2">
      <c r="A126" s="30" t="s">
        <v>888</v>
      </c>
      <c r="C126" s="30" t="s">
        <v>890</v>
      </c>
      <c r="D126" s="31" t="str">
        <f t="shared" si="1"/>
        <v>FCFS</v>
      </c>
      <c r="E126" s="30" t="s">
        <v>83</v>
      </c>
      <c r="F126" s="32" t="s">
        <v>891</v>
      </c>
      <c r="H126" s="33">
        <v>43568</v>
      </c>
      <c r="I126" s="34" t="s">
        <v>1152</v>
      </c>
      <c r="J126" s="31" t="s">
        <v>77</v>
      </c>
    </row>
    <row r="127" spans="1:10" ht="16" x14ac:dyDescent="0.2">
      <c r="A127" s="30" t="s">
        <v>889</v>
      </c>
      <c r="C127" s="30" t="s">
        <v>890</v>
      </c>
      <c r="D127" s="31" t="str">
        <f t="shared" si="1"/>
        <v>Licensed</v>
      </c>
      <c r="E127" s="30" t="s">
        <v>83</v>
      </c>
      <c r="F127" s="32" t="s">
        <v>891</v>
      </c>
      <c r="H127" s="33">
        <v>43568</v>
      </c>
      <c r="I127" s="34" t="s">
        <v>1153</v>
      </c>
      <c r="J127" s="31" t="s">
        <v>77</v>
      </c>
    </row>
    <row r="128" spans="1:10" ht="16" x14ac:dyDescent="0.2">
      <c r="A128" s="30" t="s">
        <v>949</v>
      </c>
      <c r="B128" s="32" t="s">
        <v>192</v>
      </c>
      <c r="C128" s="30" t="s">
        <v>958</v>
      </c>
      <c r="D128" s="31" t="str">
        <f t="shared" si="1"/>
        <v>FCFS</v>
      </c>
      <c r="E128" s="30" t="s">
        <v>83</v>
      </c>
      <c r="F128" s="32" t="s">
        <v>959</v>
      </c>
      <c r="H128" s="33">
        <v>43568</v>
      </c>
      <c r="I128" s="34" t="s">
        <v>1174</v>
      </c>
      <c r="J128" s="31" t="s">
        <v>77</v>
      </c>
    </row>
    <row r="129" spans="1:10" ht="16" x14ac:dyDescent="0.2">
      <c r="A129" s="30" t="s">
        <v>950</v>
      </c>
      <c r="B129" s="32" t="s">
        <v>192</v>
      </c>
      <c r="C129" s="30" t="s">
        <v>958</v>
      </c>
      <c r="D129" s="31" t="str">
        <f t="shared" si="1"/>
        <v>FCFS</v>
      </c>
      <c r="E129" s="30" t="s">
        <v>83</v>
      </c>
      <c r="F129" s="32" t="s">
        <v>959</v>
      </c>
      <c r="H129" s="33">
        <v>43568</v>
      </c>
      <c r="I129" s="34" t="s">
        <v>1175</v>
      </c>
      <c r="J129" s="31" t="s">
        <v>77</v>
      </c>
    </row>
    <row r="130" spans="1:10" ht="16" x14ac:dyDescent="0.2">
      <c r="A130" s="30" t="s">
        <v>951</v>
      </c>
      <c r="B130" s="32" t="s">
        <v>192</v>
      </c>
      <c r="C130" s="30" t="s">
        <v>958</v>
      </c>
      <c r="D130" s="31" t="str">
        <f t="shared" si="1"/>
        <v>FCFS</v>
      </c>
      <c r="E130" s="30" t="s">
        <v>83</v>
      </c>
      <c r="F130" s="32" t="s">
        <v>959</v>
      </c>
      <c r="H130" s="33">
        <v>43568</v>
      </c>
      <c r="I130" s="34" t="s">
        <v>1176</v>
      </c>
      <c r="J130" s="31" t="s">
        <v>77</v>
      </c>
    </row>
    <row r="131" spans="1:10" ht="16" x14ac:dyDescent="0.2">
      <c r="A131" s="30" t="s">
        <v>952</v>
      </c>
      <c r="B131" s="32" t="s">
        <v>192</v>
      </c>
      <c r="C131" s="30" t="s">
        <v>958</v>
      </c>
      <c r="D131" s="31" t="str">
        <f t="shared" ref="D131:D158" si="2">IF(LEFT(A131,3)="094","Licensed","FCFS")</f>
        <v>FCFS</v>
      </c>
      <c r="E131" s="30" t="s">
        <v>83</v>
      </c>
      <c r="F131" s="32" t="s">
        <v>959</v>
      </c>
      <c r="H131" s="33">
        <v>43568</v>
      </c>
      <c r="I131" s="34" t="s">
        <v>1177</v>
      </c>
      <c r="J131" s="31" t="s">
        <v>77</v>
      </c>
    </row>
    <row r="132" spans="1:10" ht="16" x14ac:dyDescent="0.2">
      <c r="A132" s="30" t="s">
        <v>953</v>
      </c>
      <c r="B132" s="32" t="s">
        <v>192</v>
      </c>
      <c r="C132" s="30" t="s">
        <v>958</v>
      </c>
      <c r="D132" s="31" t="str">
        <f t="shared" si="2"/>
        <v>FCFS</v>
      </c>
      <c r="E132" s="30" t="s">
        <v>83</v>
      </c>
      <c r="F132" s="32" t="s">
        <v>959</v>
      </c>
      <c r="H132" s="33">
        <v>43568</v>
      </c>
      <c r="I132" s="34" t="s">
        <v>1178</v>
      </c>
      <c r="J132" s="31" t="s">
        <v>77</v>
      </c>
    </row>
    <row r="133" spans="1:10" ht="16" x14ac:dyDescent="0.2">
      <c r="A133" s="30" t="s">
        <v>954</v>
      </c>
      <c r="B133" s="32" t="s">
        <v>192</v>
      </c>
      <c r="C133" s="30" t="s">
        <v>958</v>
      </c>
      <c r="D133" s="31" t="str">
        <f t="shared" si="2"/>
        <v>FCFS</v>
      </c>
      <c r="E133" s="30" t="s">
        <v>83</v>
      </c>
      <c r="F133" s="32" t="s">
        <v>959</v>
      </c>
      <c r="H133" s="33">
        <v>43568</v>
      </c>
      <c r="I133" s="34" t="s">
        <v>1182</v>
      </c>
      <c r="J133" s="31" t="s">
        <v>77</v>
      </c>
    </row>
    <row r="134" spans="1:10" ht="16" x14ac:dyDescent="0.2">
      <c r="A134" s="30" t="s">
        <v>955</v>
      </c>
      <c r="B134" s="32" t="s">
        <v>192</v>
      </c>
      <c r="C134" s="30" t="s">
        <v>958</v>
      </c>
      <c r="D134" s="31" t="str">
        <f t="shared" si="2"/>
        <v>FCFS</v>
      </c>
      <c r="E134" s="30" t="s">
        <v>83</v>
      </c>
      <c r="F134" s="32" t="s">
        <v>959</v>
      </c>
      <c r="H134" s="33">
        <v>43568</v>
      </c>
      <c r="I134" s="34" t="s">
        <v>1179</v>
      </c>
      <c r="J134" s="31" t="s">
        <v>77</v>
      </c>
    </row>
    <row r="135" spans="1:10" ht="16" x14ac:dyDescent="0.2">
      <c r="A135" s="30" t="s">
        <v>956</v>
      </c>
      <c r="B135" s="32" t="s">
        <v>192</v>
      </c>
      <c r="C135" s="30" t="s">
        <v>958</v>
      </c>
      <c r="D135" s="31" t="str">
        <f t="shared" si="2"/>
        <v>FCFS</v>
      </c>
      <c r="E135" s="30" t="s">
        <v>83</v>
      </c>
      <c r="F135" s="32" t="s">
        <v>959</v>
      </c>
      <c r="H135" s="33">
        <v>43568</v>
      </c>
      <c r="I135" s="34" t="s">
        <v>1180</v>
      </c>
      <c r="J135" s="31" t="s">
        <v>77</v>
      </c>
    </row>
    <row r="136" spans="1:10" ht="16" x14ac:dyDescent="0.2">
      <c r="A136" s="30" t="s">
        <v>957</v>
      </c>
      <c r="B136" s="32" t="s">
        <v>192</v>
      </c>
      <c r="C136" s="30" t="s">
        <v>958</v>
      </c>
      <c r="D136" s="31" t="str">
        <f t="shared" si="2"/>
        <v>FCFS</v>
      </c>
      <c r="E136" s="30" t="s">
        <v>83</v>
      </c>
      <c r="F136" s="32" t="s">
        <v>959</v>
      </c>
      <c r="H136" s="33">
        <v>43568</v>
      </c>
      <c r="I136" s="34" t="s">
        <v>1181</v>
      </c>
      <c r="J136" s="31" t="s">
        <v>77</v>
      </c>
    </row>
    <row r="137" spans="1:10" ht="16" x14ac:dyDescent="0.2">
      <c r="A137" s="30" t="s">
        <v>961</v>
      </c>
      <c r="C137" s="30" t="s">
        <v>983</v>
      </c>
      <c r="D137" s="31" t="str">
        <f t="shared" si="2"/>
        <v>FCFS</v>
      </c>
      <c r="E137" s="30" t="s">
        <v>83</v>
      </c>
      <c r="F137" s="32" t="s">
        <v>1004</v>
      </c>
      <c r="H137" s="33">
        <v>43568</v>
      </c>
      <c r="I137" s="34" t="s">
        <v>1093</v>
      </c>
      <c r="J137" s="31" t="s">
        <v>77</v>
      </c>
    </row>
    <row r="138" spans="1:10" ht="16" x14ac:dyDescent="0.2">
      <c r="A138" s="30" t="s">
        <v>962</v>
      </c>
      <c r="C138" s="30" t="s">
        <v>983</v>
      </c>
      <c r="D138" s="31" t="str">
        <f t="shared" si="2"/>
        <v>FCFS</v>
      </c>
      <c r="E138" s="30" t="s">
        <v>83</v>
      </c>
      <c r="F138" s="32" t="s">
        <v>1004</v>
      </c>
      <c r="H138" s="33">
        <v>43568</v>
      </c>
      <c r="I138" s="34" t="s">
        <v>1094</v>
      </c>
      <c r="J138" s="31" t="s">
        <v>77</v>
      </c>
    </row>
    <row r="139" spans="1:10" ht="16" x14ac:dyDescent="0.2">
      <c r="A139" s="30" t="s">
        <v>963</v>
      </c>
      <c r="C139" s="30" t="s">
        <v>983</v>
      </c>
      <c r="D139" s="31" t="str">
        <f t="shared" si="2"/>
        <v>FCFS</v>
      </c>
      <c r="E139" s="30" t="s">
        <v>83</v>
      </c>
      <c r="F139" s="32" t="s">
        <v>1004</v>
      </c>
      <c r="H139" s="33">
        <v>43568</v>
      </c>
      <c r="I139" s="34" t="s">
        <v>1095</v>
      </c>
      <c r="J139" s="31" t="s">
        <v>77</v>
      </c>
    </row>
    <row r="140" spans="1:10" ht="16" x14ac:dyDescent="0.2">
      <c r="A140" s="30" t="s">
        <v>964</v>
      </c>
      <c r="C140" s="30" t="s">
        <v>983</v>
      </c>
      <c r="D140" s="31" t="str">
        <f t="shared" si="2"/>
        <v>FCFS</v>
      </c>
      <c r="E140" s="30" t="s">
        <v>83</v>
      </c>
      <c r="F140" s="32" t="s">
        <v>1004</v>
      </c>
      <c r="H140" s="33">
        <v>43568</v>
      </c>
      <c r="I140" s="34" t="s">
        <v>1096</v>
      </c>
      <c r="J140" s="31" t="s">
        <v>77</v>
      </c>
    </row>
    <row r="141" spans="1:10" ht="16" x14ac:dyDescent="0.2">
      <c r="A141" s="30" t="s">
        <v>965</v>
      </c>
      <c r="C141" s="30" t="s">
        <v>983</v>
      </c>
      <c r="D141" s="31" t="str">
        <f t="shared" si="2"/>
        <v>FCFS</v>
      </c>
      <c r="E141" s="30" t="s">
        <v>83</v>
      </c>
      <c r="F141" s="32" t="s">
        <v>1004</v>
      </c>
      <c r="H141" s="33">
        <v>43568</v>
      </c>
      <c r="I141" s="34" t="s">
        <v>1097</v>
      </c>
      <c r="J141" s="31" t="s">
        <v>77</v>
      </c>
    </row>
    <row r="142" spans="1:10" ht="16" x14ac:dyDescent="0.2">
      <c r="A142" s="30" t="s">
        <v>966</v>
      </c>
      <c r="C142" s="30" t="s">
        <v>983</v>
      </c>
      <c r="D142" s="31" t="str">
        <f t="shared" si="2"/>
        <v>FCFS</v>
      </c>
      <c r="E142" s="30" t="s">
        <v>83</v>
      </c>
      <c r="F142" s="32" t="s">
        <v>1004</v>
      </c>
      <c r="H142" s="33">
        <v>43568</v>
      </c>
      <c r="I142" s="34" t="s">
        <v>1098</v>
      </c>
      <c r="J142" s="31" t="s">
        <v>77</v>
      </c>
    </row>
    <row r="143" spans="1:10" ht="16" x14ac:dyDescent="0.2">
      <c r="A143" s="30" t="s">
        <v>967</v>
      </c>
      <c r="C143" s="30" t="s">
        <v>983</v>
      </c>
      <c r="D143" s="31" t="str">
        <f t="shared" si="2"/>
        <v>FCFS</v>
      </c>
      <c r="E143" s="30" t="s">
        <v>83</v>
      </c>
      <c r="F143" s="32" t="s">
        <v>1004</v>
      </c>
      <c r="H143" s="33">
        <v>43568</v>
      </c>
      <c r="I143" s="34" t="s">
        <v>1099</v>
      </c>
      <c r="J143" s="31" t="s">
        <v>77</v>
      </c>
    </row>
    <row r="144" spans="1:10" ht="16" x14ac:dyDescent="0.2">
      <c r="A144" s="30" t="s">
        <v>968</v>
      </c>
      <c r="C144" s="30" t="s">
        <v>983</v>
      </c>
      <c r="D144" s="31" t="str">
        <f t="shared" si="2"/>
        <v>FCFS</v>
      </c>
      <c r="E144" s="30" t="s">
        <v>83</v>
      </c>
      <c r="F144" s="32" t="s">
        <v>1004</v>
      </c>
      <c r="H144" s="33">
        <v>43568</v>
      </c>
      <c r="I144" s="34" t="s">
        <v>1100</v>
      </c>
      <c r="J144" s="31" t="s">
        <v>77</v>
      </c>
    </row>
    <row r="145" spans="1:10" ht="16" x14ac:dyDescent="0.2">
      <c r="A145" s="30" t="s">
        <v>969</v>
      </c>
      <c r="C145" s="30" t="s">
        <v>983</v>
      </c>
      <c r="D145" s="31" t="str">
        <f t="shared" si="2"/>
        <v>FCFS</v>
      </c>
      <c r="E145" s="30" t="s">
        <v>83</v>
      </c>
      <c r="F145" s="32" t="s">
        <v>1004</v>
      </c>
      <c r="H145" s="33">
        <v>43568</v>
      </c>
      <c r="I145" s="34" t="s">
        <v>1101</v>
      </c>
      <c r="J145" s="31" t="s">
        <v>77</v>
      </c>
    </row>
    <row r="146" spans="1:10" ht="16" x14ac:dyDescent="0.2">
      <c r="A146" s="30" t="s">
        <v>970</v>
      </c>
      <c r="C146" s="30" t="s">
        <v>983</v>
      </c>
      <c r="D146" s="31" t="str">
        <f t="shared" si="2"/>
        <v>FCFS</v>
      </c>
      <c r="E146" s="30" t="s">
        <v>83</v>
      </c>
      <c r="F146" s="32" t="s">
        <v>1004</v>
      </c>
      <c r="H146" s="33">
        <v>43568</v>
      </c>
      <c r="I146" s="34" t="s">
        <v>1102</v>
      </c>
      <c r="J146" s="31" t="s">
        <v>77</v>
      </c>
    </row>
    <row r="147" spans="1:10" ht="16" x14ac:dyDescent="0.2">
      <c r="A147" s="30" t="s">
        <v>971</v>
      </c>
      <c r="C147" s="30" t="s">
        <v>983</v>
      </c>
      <c r="D147" s="31" t="str">
        <f t="shared" si="2"/>
        <v>FCFS</v>
      </c>
      <c r="E147" s="30" t="s">
        <v>83</v>
      </c>
      <c r="F147" s="32" t="s">
        <v>1004</v>
      </c>
      <c r="H147" s="33">
        <v>43568</v>
      </c>
      <c r="I147" s="34" t="s">
        <v>1103</v>
      </c>
      <c r="J147" s="31" t="s">
        <v>77</v>
      </c>
    </row>
    <row r="148" spans="1:10" ht="16" x14ac:dyDescent="0.2">
      <c r="A148" s="30" t="s">
        <v>972</v>
      </c>
      <c r="C148" s="30" t="s">
        <v>983</v>
      </c>
      <c r="D148" s="31" t="str">
        <f t="shared" si="2"/>
        <v>FCFS</v>
      </c>
      <c r="E148" s="30" t="s">
        <v>83</v>
      </c>
      <c r="F148" s="32" t="s">
        <v>1004</v>
      </c>
      <c r="H148" s="33">
        <v>43568</v>
      </c>
      <c r="I148" s="34" t="s">
        <v>1104</v>
      </c>
      <c r="J148" s="31" t="s">
        <v>77</v>
      </c>
    </row>
    <row r="149" spans="1:10" ht="16" x14ac:dyDescent="0.2">
      <c r="A149" s="30" t="s">
        <v>973</v>
      </c>
      <c r="C149" s="30" t="s">
        <v>983</v>
      </c>
      <c r="D149" s="31" t="str">
        <f t="shared" si="2"/>
        <v>FCFS</v>
      </c>
      <c r="E149" s="30" t="s">
        <v>83</v>
      </c>
      <c r="F149" s="32" t="s">
        <v>1004</v>
      </c>
      <c r="H149" s="33">
        <v>43568</v>
      </c>
      <c r="I149" s="34" t="s">
        <v>1085</v>
      </c>
      <c r="J149" s="31" t="s">
        <v>77</v>
      </c>
    </row>
    <row r="150" spans="1:10" ht="16" x14ac:dyDescent="0.2">
      <c r="A150" s="30" t="s">
        <v>974</v>
      </c>
      <c r="C150" s="30" t="s">
        <v>983</v>
      </c>
      <c r="D150" s="31" t="str">
        <f t="shared" si="2"/>
        <v>FCFS</v>
      </c>
      <c r="E150" s="30" t="s">
        <v>83</v>
      </c>
      <c r="F150" s="32" t="s">
        <v>1004</v>
      </c>
      <c r="H150" s="33">
        <v>43568</v>
      </c>
      <c r="I150" s="34" t="s">
        <v>1086</v>
      </c>
      <c r="J150" s="31" t="s">
        <v>77</v>
      </c>
    </row>
    <row r="151" spans="1:10" ht="32" x14ac:dyDescent="0.2">
      <c r="A151" s="30" t="s">
        <v>975</v>
      </c>
      <c r="C151" s="30" t="s">
        <v>983</v>
      </c>
      <c r="D151" s="31" t="str">
        <f t="shared" si="2"/>
        <v>FCFS</v>
      </c>
      <c r="E151" s="30" t="s">
        <v>83</v>
      </c>
      <c r="F151" s="32" t="s">
        <v>1004</v>
      </c>
      <c r="H151" s="33">
        <v>43568</v>
      </c>
      <c r="I151" s="34" t="s">
        <v>1195</v>
      </c>
      <c r="J151" s="31" t="s">
        <v>77</v>
      </c>
    </row>
    <row r="152" spans="1:10" ht="32" x14ac:dyDescent="0.2">
      <c r="A152" s="30" t="s">
        <v>976</v>
      </c>
      <c r="C152" s="30" t="s">
        <v>983</v>
      </c>
      <c r="D152" s="31" t="str">
        <f t="shared" si="2"/>
        <v>FCFS</v>
      </c>
      <c r="E152" s="30" t="s">
        <v>83</v>
      </c>
      <c r="F152" s="32" t="s">
        <v>1004</v>
      </c>
      <c r="H152" s="33">
        <v>43568</v>
      </c>
      <c r="I152" s="34" t="s">
        <v>1201</v>
      </c>
      <c r="J152" s="31" t="s">
        <v>77</v>
      </c>
    </row>
    <row r="153" spans="1:10" ht="16" x14ac:dyDescent="0.2">
      <c r="A153" s="30" t="s">
        <v>977</v>
      </c>
      <c r="C153" s="30" t="s">
        <v>983</v>
      </c>
      <c r="D153" s="31" t="str">
        <f t="shared" si="2"/>
        <v>FCFS</v>
      </c>
      <c r="E153" s="30" t="s">
        <v>83</v>
      </c>
      <c r="F153" s="32" t="s">
        <v>1004</v>
      </c>
      <c r="H153" s="33">
        <v>43568</v>
      </c>
      <c r="I153" s="34" t="s">
        <v>1087</v>
      </c>
      <c r="J153" s="31" t="s">
        <v>77</v>
      </c>
    </row>
    <row r="154" spans="1:10" ht="16" x14ac:dyDescent="0.2">
      <c r="A154" s="30" t="s">
        <v>978</v>
      </c>
      <c r="C154" s="30" t="s">
        <v>983</v>
      </c>
      <c r="D154" s="31" t="str">
        <f t="shared" si="2"/>
        <v>FCFS</v>
      </c>
      <c r="E154" s="30" t="s">
        <v>83</v>
      </c>
      <c r="F154" s="32" t="s">
        <v>1004</v>
      </c>
      <c r="H154" s="33">
        <v>43568</v>
      </c>
      <c r="I154" s="34" t="s">
        <v>1088</v>
      </c>
      <c r="J154" s="31" t="s">
        <v>77</v>
      </c>
    </row>
    <row r="155" spans="1:10" ht="16" x14ac:dyDescent="0.2">
      <c r="A155" s="30" t="s">
        <v>979</v>
      </c>
      <c r="C155" s="30" t="s">
        <v>983</v>
      </c>
      <c r="D155" s="31" t="str">
        <f t="shared" si="2"/>
        <v>FCFS</v>
      </c>
      <c r="E155" s="30" t="s">
        <v>83</v>
      </c>
      <c r="F155" s="32" t="s">
        <v>1004</v>
      </c>
      <c r="H155" s="33">
        <v>43568</v>
      </c>
      <c r="I155" s="34" t="s">
        <v>1089</v>
      </c>
      <c r="J155" s="31" t="s">
        <v>77</v>
      </c>
    </row>
    <row r="156" spans="1:10" ht="16" x14ac:dyDescent="0.2">
      <c r="A156" s="30" t="s">
        <v>980</v>
      </c>
      <c r="C156" s="30" t="s">
        <v>983</v>
      </c>
      <c r="D156" s="31" t="str">
        <f t="shared" si="2"/>
        <v>FCFS</v>
      </c>
      <c r="E156" s="30" t="s">
        <v>83</v>
      </c>
      <c r="F156" s="32" t="s">
        <v>1004</v>
      </c>
      <c r="H156" s="33">
        <v>43568</v>
      </c>
      <c r="I156" s="34" t="s">
        <v>1090</v>
      </c>
      <c r="J156" s="31" t="s">
        <v>77</v>
      </c>
    </row>
    <row r="157" spans="1:10" ht="16" x14ac:dyDescent="0.2">
      <c r="A157" s="30" t="s">
        <v>981</v>
      </c>
      <c r="C157" s="30" t="s">
        <v>983</v>
      </c>
      <c r="D157" s="31" t="str">
        <f t="shared" si="2"/>
        <v>FCFS</v>
      </c>
      <c r="E157" s="30" t="s">
        <v>83</v>
      </c>
      <c r="F157" s="32" t="s">
        <v>1004</v>
      </c>
      <c r="H157" s="33">
        <v>43568</v>
      </c>
      <c r="I157" s="34" t="s">
        <v>1091</v>
      </c>
      <c r="J157" s="31" t="s">
        <v>77</v>
      </c>
    </row>
    <row r="158" spans="1:10" ht="32" x14ac:dyDescent="0.2">
      <c r="A158" s="30" t="s">
        <v>982</v>
      </c>
      <c r="C158" s="30" t="s">
        <v>983</v>
      </c>
      <c r="D158" s="31" t="str">
        <f t="shared" si="2"/>
        <v>FCFS</v>
      </c>
      <c r="E158" s="30" t="s">
        <v>83</v>
      </c>
      <c r="F158" s="32" t="s">
        <v>1004</v>
      </c>
      <c r="H158" s="33">
        <v>43568</v>
      </c>
      <c r="I158" s="34" t="s">
        <v>1092</v>
      </c>
      <c r="J158" s="31" t="s">
        <v>77</v>
      </c>
    </row>
    <row r="159" spans="1:10" ht="16" x14ac:dyDescent="0.2">
      <c r="A159" s="30" t="s">
        <v>984</v>
      </c>
      <c r="C159" s="30" t="s">
        <v>983</v>
      </c>
      <c r="D159" s="31" t="str">
        <f t="shared" ref="D159:D178" si="3">IF(LEFT(A159,3)="094","Licensed","FCFS")</f>
        <v>FCFS</v>
      </c>
      <c r="E159" s="30" t="s">
        <v>83</v>
      </c>
      <c r="F159" s="32" t="s">
        <v>1005</v>
      </c>
      <c r="H159" s="33">
        <v>43568</v>
      </c>
      <c r="I159" s="34" t="s">
        <v>1110</v>
      </c>
      <c r="J159" s="31" t="s">
        <v>77</v>
      </c>
    </row>
    <row r="160" spans="1:10" ht="16" x14ac:dyDescent="0.2">
      <c r="A160" s="30" t="s">
        <v>985</v>
      </c>
      <c r="C160" s="30" t="s">
        <v>983</v>
      </c>
      <c r="D160" s="31" t="str">
        <f t="shared" si="3"/>
        <v>FCFS</v>
      </c>
      <c r="E160" s="30" t="s">
        <v>83</v>
      </c>
      <c r="F160" s="32" t="s">
        <v>1005</v>
      </c>
      <c r="H160" s="33">
        <v>43568</v>
      </c>
      <c r="I160" s="34" t="s">
        <v>1111</v>
      </c>
      <c r="J160" s="31" t="s">
        <v>77</v>
      </c>
    </row>
    <row r="161" spans="1:10" ht="16" x14ac:dyDescent="0.2">
      <c r="A161" s="30" t="s">
        <v>986</v>
      </c>
      <c r="C161" s="30" t="s">
        <v>983</v>
      </c>
      <c r="D161" s="31" t="str">
        <f t="shared" si="3"/>
        <v>FCFS</v>
      </c>
      <c r="E161" s="30" t="s">
        <v>83</v>
      </c>
      <c r="F161" s="32" t="s">
        <v>1005</v>
      </c>
      <c r="H161" s="33">
        <v>43568</v>
      </c>
      <c r="I161" s="34" t="s">
        <v>1112</v>
      </c>
      <c r="J161" s="31" t="s">
        <v>77</v>
      </c>
    </row>
    <row r="162" spans="1:10" ht="16" x14ac:dyDescent="0.2">
      <c r="A162" s="30" t="s">
        <v>987</v>
      </c>
      <c r="C162" s="30" t="s">
        <v>983</v>
      </c>
      <c r="D162" s="31" t="str">
        <f t="shared" si="3"/>
        <v>FCFS</v>
      </c>
      <c r="E162" s="30" t="s">
        <v>83</v>
      </c>
      <c r="F162" s="32" t="s">
        <v>1005</v>
      </c>
      <c r="H162" s="33">
        <v>43568</v>
      </c>
      <c r="I162" s="34" t="s">
        <v>1113</v>
      </c>
      <c r="J162" s="31" t="s">
        <v>77</v>
      </c>
    </row>
    <row r="163" spans="1:10" ht="16" x14ac:dyDescent="0.2">
      <c r="A163" s="30" t="s">
        <v>988</v>
      </c>
      <c r="C163" s="30" t="s">
        <v>983</v>
      </c>
      <c r="D163" s="31" t="str">
        <f t="shared" si="3"/>
        <v>FCFS</v>
      </c>
      <c r="E163" s="30" t="s">
        <v>83</v>
      </c>
      <c r="F163" s="32" t="s">
        <v>1005</v>
      </c>
      <c r="H163" s="33">
        <v>43568</v>
      </c>
      <c r="I163" s="34" t="s">
        <v>1114</v>
      </c>
      <c r="J163" s="31" t="s">
        <v>77</v>
      </c>
    </row>
    <row r="164" spans="1:10" ht="16" x14ac:dyDescent="0.2">
      <c r="A164" s="30" t="s">
        <v>989</v>
      </c>
      <c r="C164" s="30" t="s">
        <v>983</v>
      </c>
      <c r="D164" s="31" t="str">
        <f t="shared" si="3"/>
        <v>FCFS</v>
      </c>
      <c r="E164" s="30" t="s">
        <v>83</v>
      </c>
      <c r="F164" s="32" t="s">
        <v>1005</v>
      </c>
      <c r="H164" s="33">
        <v>43568</v>
      </c>
      <c r="I164" s="34" t="s">
        <v>1115</v>
      </c>
      <c r="J164" s="31" t="s">
        <v>77</v>
      </c>
    </row>
    <row r="165" spans="1:10" ht="16" x14ac:dyDescent="0.2">
      <c r="A165" s="30" t="s">
        <v>990</v>
      </c>
      <c r="C165" s="30" t="s">
        <v>983</v>
      </c>
      <c r="D165" s="31" t="str">
        <f t="shared" si="3"/>
        <v>FCFS</v>
      </c>
      <c r="E165" s="30" t="s">
        <v>83</v>
      </c>
      <c r="F165" s="32" t="s">
        <v>1005</v>
      </c>
      <c r="H165" s="33">
        <v>43568</v>
      </c>
      <c r="I165" s="34" t="s">
        <v>1116</v>
      </c>
      <c r="J165" s="31" t="s">
        <v>77</v>
      </c>
    </row>
    <row r="166" spans="1:10" ht="16" x14ac:dyDescent="0.2">
      <c r="A166" s="30" t="s">
        <v>991</v>
      </c>
      <c r="C166" s="30" t="s">
        <v>983</v>
      </c>
      <c r="D166" s="31" t="str">
        <f t="shared" si="3"/>
        <v>FCFS</v>
      </c>
      <c r="E166" s="30" t="s">
        <v>83</v>
      </c>
      <c r="F166" s="32" t="s">
        <v>1005</v>
      </c>
      <c r="H166" s="33">
        <v>43568</v>
      </c>
      <c r="I166" s="34" t="s">
        <v>1117</v>
      </c>
      <c r="J166" s="31" t="s">
        <v>77</v>
      </c>
    </row>
    <row r="167" spans="1:10" ht="16" x14ac:dyDescent="0.2">
      <c r="A167" s="30" t="s">
        <v>992</v>
      </c>
      <c r="C167" s="30" t="s">
        <v>983</v>
      </c>
      <c r="D167" s="31" t="str">
        <f t="shared" si="3"/>
        <v>FCFS</v>
      </c>
      <c r="E167" s="30" t="s">
        <v>83</v>
      </c>
      <c r="F167" s="32" t="s">
        <v>1005</v>
      </c>
      <c r="H167" s="33">
        <v>43568</v>
      </c>
      <c r="I167" s="34" t="s">
        <v>1118</v>
      </c>
      <c r="J167" s="31" t="s">
        <v>77</v>
      </c>
    </row>
    <row r="168" spans="1:10" ht="16" x14ac:dyDescent="0.2">
      <c r="A168" s="30" t="s">
        <v>993</v>
      </c>
      <c r="C168" s="30" t="s">
        <v>983</v>
      </c>
      <c r="D168" s="31" t="str">
        <f t="shared" si="3"/>
        <v>FCFS</v>
      </c>
      <c r="E168" s="30" t="s">
        <v>83</v>
      </c>
      <c r="F168" s="32" t="s">
        <v>1005</v>
      </c>
      <c r="H168" s="33">
        <v>43568</v>
      </c>
      <c r="I168" s="34" t="s">
        <v>1119</v>
      </c>
      <c r="J168" s="31" t="s">
        <v>77</v>
      </c>
    </row>
    <row r="169" spans="1:10" ht="16" x14ac:dyDescent="0.2">
      <c r="A169" s="30" t="s">
        <v>994</v>
      </c>
      <c r="C169" s="30" t="s">
        <v>983</v>
      </c>
      <c r="D169" s="31" t="str">
        <f t="shared" si="3"/>
        <v>FCFS</v>
      </c>
      <c r="E169" s="30" t="s">
        <v>83</v>
      </c>
      <c r="F169" s="32" t="s">
        <v>1005</v>
      </c>
      <c r="H169" s="33">
        <v>43568</v>
      </c>
      <c r="I169" s="34" t="s">
        <v>1120</v>
      </c>
      <c r="J169" s="31" t="s">
        <v>77</v>
      </c>
    </row>
    <row r="170" spans="1:10" ht="16" x14ac:dyDescent="0.2">
      <c r="A170" s="30" t="s">
        <v>995</v>
      </c>
      <c r="C170" s="30" t="s">
        <v>983</v>
      </c>
      <c r="D170" s="31" t="str">
        <f t="shared" si="3"/>
        <v>FCFS</v>
      </c>
      <c r="E170" s="30" t="s">
        <v>83</v>
      </c>
      <c r="F170" s="32" t="s">
        <v>1005</v>
      </c>
      <c r="H170" s="33">
        <v>43568</v>
      </c>
      <c r="I170" s="34" t="s">
        <v>1121</v>
      </c>
      <c r="J170" s="31" t="s">
        <v>77</v>
      </c>
    </row>
    <row r="171" spans="1:10" ht="16" x14ac:dyDescent="0.2">
      <c r="A171" s="30" t="s">
        <v>996</v>
      </c>
      <c r="C171" s="30" t="s">
        <v>983</v>
      </c>
      <c r="D171" s="31" t="str">
        <f t="shared" si="3"/>
        <v>FCFS</v>
      </c>
      <c r="E171" s="30" t="s">
        <v>83</v>
      </c>
      <c r="F171" s="32" t="s">
        <v>1005</v>
      </c>
      <c r="H171" s="33">
        <v>43568</v>
      </c>
      <c r="I171" s="34" t="s">
        <v>1105</v>
      </c>
      <c r="J171" s="31" t="s">
        <v>77</v>
      </c>
    </row>
    <row r="172" spans="1:10" ht="16" x14ac:dyDescent="0.2">
      <c r="A172" s="30" t="s">
        <v>997</v>
      </c>
      <c r="C172" s="30" t="s">
        <v>983</v>
      </c>
      <c r="D172" s="31" t="str">
        <f t="shared" si="3"/>
        <v>FCFS</v>
      </c>
      <c r="E172" s="30" t="s">
        <v>83</v>
      </c>
      <c r="F172" s="32" t="s">
        <v>1005</v>
      </c>
      <c r="H172" s="33">
        <v>43568</v>
      </c>
      <c r="I172" s="34" t="s">
        <v>1196</v>
      </c>
      <c r="J172" s="31" t="s">
        <v>77</v>
      </c>
    </row>
    <row r="173" spans="1:10" ht="16" x14ac:dyDescent="0.2">
      <c r="A173" s="30" t="s">
        <v>998</v>
      </c>
      <c r="C173" s="30" t="s">
        <v>983</v>
      </c>
      <c r="D173" s="31" t="str">
        <f t="shared" si="3"/>
        <v>FCFS</v>
      </c>
      <c r="E173" s="30" t="s">
        <v>83</v>
      </c>
      <c r="F173" s="32" t="s">
        <v>1005</v>
      </c>
      <c r="H173" s="33">
        <v>43568</v>
      </c>
      <c r="I173" s="34" t="s">
        <v>1109</v>
      </c>
      <c r="J173" s="31" t="s">
        <v>77</v>
      </c>
    </row>
    <row r="174" spans="1:10" ht="16" x14ac:dyDescent="0.2">
      <c r="A174" s="30" t="s">
        <v>999</v>
      </c>
      <c r="C174" s="30" t="s">
        <v>983</v>
      </c>
      <c r="D174" s="31" t="str">
        <f t="shared" si="3"/>
        <v>FCFS</v>
      </c>
      <c r="E174" s="30" t="s">
        <v>83</v>
      </c>
      <c r="F174" s="32" t="s">
        <v>1005</v>
      </c>
      <c r="H174" s="33">
        <v>43568</v>
      </c>
      <c r="I174" s="34" t="s">
        <v>1197</v>
      </c>
      <c r="J174" s="31" t="s">
        <v>77</v>
      </c>
    </row>
    <row r="175" spans="1:10" ht="16" x14ac:dyDescent="0.2">
      <c r="A175" s="30" t="s">
        <v>1000</v>
      </c>
      <c r="C175" s="30" t="s">
        <v>983</v>
      </c>
      <c r="D175" s="31" t="str">
        <f t="shared" si="3"/>
        <v>FCFS</v>
      </c>
      <c r="E175" s="30" t="s">
        <v>83</v>
      </c>
      <c r="F175" s="32" t="s">
        <v>1005</v>
      </c>
      <c r="H175" s="33">
        <v>43568</v>
      </c>
      <c r="I175" s="34" t="s">
        <v>1107</v>
      </c>
      <c r="J175" s="31" t="s">
        <v>77</v>
      </c>
    </row>
    <row r="176" spans="1:10" ht="16" x14ac:dyDescent="0.2">
      <c r="A176" s="30" t="s">
        <v>1001</v>
      </c>
      <c r="C176" s="30" t="s">
        <v>983</v>
      </c>
      <c r="D176" s="31" t="str">
        <f t="shared" si="3"/>
        <v>FCFS</v>
      </c>
      <c r="E176" s="30" t="s">
        <v>83</v>
      </c>
      <c r="F176" s="32" t="s">
        <v>1005</v>
      </c>
      <c r="H176" s="33">
        <v>43568</v>
      </c>
      <c r="I176" s="34" t="s">
        <v>1108</v>
      </c>
      <c r="J176" s="31" t="s">
        <v>77</v>
      </c>
    </row>
    <row r="177" spans="1:10" ht="32" x14ac:dyDescent="0.2">
      <c r="A177" s="30" t="s">
        <v>1002</v>
      </c>
      <c r="C177" s="30" t="s">
        <v>983</v>
      </c>
      <c r="D177" s="31" t="str">
        <f t="shared" si="3"/>
        <v>FCFS</v>
      </c>
      <c r="E177" s="30" t="s">
        <v>83</v>
      </c>
      <c r="F177" s="32" t="s">
        <v>1005</v>
      </c>
      <c r="H177" s="33">
        <v>43568</v>
      </c>
      <c r="I177" s="34" t="s">
        <v>1203</v>
      </c>
      <c r="J177" s="31" t="s">
        <v>77</v>
      </c>
    </row>
    <row r="178" spans="1:10" ht="16" x14ac:dyDescent="0.2">
      <c r="A178" s="30" t="s">
        <v>1003</v>
      </c>
      <c r="C178" s="30" t="s">
        <v>983</v>
      </c>
      <c r="D178" s="31" t="str">
        <f t="shared" si="3"/>
        <v>FCFS</v>
      </c>
      <c r="E178" s="30" t="s">
        <v>83</v>
      </c>
      <c r="F178" s="32" t="s">
        <v>1005</v>
      </c>
      <c r="H178" s="33">
        <v>43568</v>
      </c>
      <c r="I178" s="34" t="s">
        <v>1106</v>
      </c>
      <c r="J178" s="31" t="s">
        <v>77</v>
      </c>
    </row>
    <row r="179" spans="1:10" ht="16" x14ac:dyDescent="0.2">
      <c r="A179" s="30" t="s">
        <v>1006</v>
      </c>
      <c r="C179" s="30" t="s">
        <v>983</v>
      </c>
      <c r="D179" s="31" t="str">
        <f t="shared" ref="D179:D220" si="4">IF(LEFT(A179,3)="094","Licensed","FCFS")</f>
        <v>FCFS</v>
      </c>
      <c r="E179" s="30" t="s">
        <v>83</v>
      </c>
      <c r="F179" s="32" t="s">
        <v>1048</v>
      </c>
      <c r="H179" s="33">
        <v>43568</v>
      </c>
      <c r="I179" s="34" t="s">
        <v>1072</v>
      </c>
      <c r="J179" s="31" t="s">
        <v>77</v>
      </c>
    </row>
    <row r="180" spans="1:10" ht="16" x14ac:dyDescent="0.2">
      <c r="A180" s="30" t="s">
        <v>1007</v>
      </c>
      <c r="C180" s="30" t="s">
        <v>983</v>
      </c>
      <c r="D180" s="31" t="str">
        <f t="shared" si="4"/>
        <v>FCFS</v>
      </c>
      <c r="E180" s="30" t="s">
        <v>83</v>
      </c>
      <c r="F180" s="32" t="s">
        <v>1048</v>
      </c>
      <c r="H180" s="33">
        <v>43568</v>
      </c>
      <c r="I180" s="34" t="s">
        <v>1073</v>
      </c>
      <c r="J180" s="31" t="s">
        <v>77</v>
      </c>
    </row>
    <row r="181" spans="1:10" ht="16" x14ac:dyDescent="0.2">
      <c r="A181" s="30" t="s">
        <v>1008</v>
      </c>
      <c r="C181" s="30" t="s">
        <v>983</v>
      </c>
      <c r="D181" s="31" t="str">
        <f t="shared" si="4"/>
        <v>FCFS</v>
      </c>
      <c r="E181" s="30" t="s">
        <v>83</v>
      </c>
      <c r="F181" s="32" t="s">
        <v>1048</v>
      </c>
      <c r="H181" s="33">
        <v>43568</v>
      </c>
      <c r="I181" s="34" t="s">
        <v>1074</v>
      </c>
      <c r="J181" s="31" t="s">
        <v>77</v>
      </c>
    </row>
    <row r="182" spans="1:10" ht="16" x14ac:dyDescent="0.2">
      <c r="A182" s="30" t="s">
        <v>1009</v>
      </c>
      <c r="C182" s="30" t="s">
        <v>983</v>
      </c>
      <c r="D182" s="31" t="str">
        <f t="shared" si="4"/>
        <v>FCFS</v>
      </c>
      <c r="E182" s="30" t="s">
        <v>83</v>
      </c>
      <c r="F182" s="32" t="s">
        <v>1048</v>
      </c>
      <c r="H182" s="33">
        <v>43568</v>
      </c>
      <c r="I182" s="34" t="s">
        <v>1075</v>
      </c>
      <c r="J182" s="31" t="s">
        <v>77</v>
      </c>
    </row>
    <row r="183" spans="1:10" ht="16" x14ac:dyDescent="0.2">
      <c r="A183" s="30" t="s">
        <v>1010</v>
      </c>
      <c r="C183" s="30" t="s">
        <v>983</v>
      </c>
      <c r="D183" s="31" t="str">
        <f t="shared" si="4"/>
        <v>FCFS</v>
      </c>
      <c r="E183" s="30" t="s">
        <v>83</v>
      </c>
      <c r="F183" s="32" t="s">
        <v>1048</v>
      </c>
      <c r="H183" s="33">
        <v>43568</v>
      </c>
      <c r="I183" s="34" t="s">
        <v>1076</v>
      </c>
      <c r="J183" s="31" t="s">
        <v>77</v>
      </c>
    </row>
    <row r="184" spans="1:10" ht="16" x14ac:dyDescent="0.2">
      <c r="A184" s="30" t="s">
        <v>1011</v>
      </c>
      <c r="C184" s="30" t="s">
        <v>983</v>
      </c>
      <c r="D184" s="31" t="str">
        <f t="shared" si="4"/>
        <v>FCFS</v>
      </c>
      <c r="E184" s="30" t="s">
        <v>83</v>
      </c>
      <c r="F184" s="32" t="s">
        <v>1048</v>
      </c>
      <c r="H184" s="33">
        <v>43568</v>
      </c>
      <c r="I184" s="34" t="s">
        <v>1077</v>
      </c>
      <c r="J184" s="31" t="s">
        <v>77</v>
      </c>
    </row>
    <row r="185" spans="1:10" ht="16" x14ac:dyDescent="0.2">
      <c r="A185" s="30" t="s">
        <v>1012</v>
      </c>
      <c r="C185" s="30" t="s">
        <v>983</v>
      </c>
      <c r="D185" s="31" t="str">
        <f t="shared" si="4"/>
        <v>FCFS</v>
      </c>
      <c r="E185" s="30" t="s">
        <v>83</v>
      </c>
      <c r="F185" s="32" t="s">
        <v>1048</v>
      </c>
      <c r="H185" s="33">
        <v>43568</v>
      </c>
      <c r="I185" s="34" t="s">
        <v>1078</v>
      </c>
      <c r="J185" s="31" t="s">
        <v>77</v>
      </c>
    </row>
    <row r="186" spans="1:10" ht="16" x14ac:dyDescent="0.2">
      <c r="A186" s="30" t="s">
        <v>1013</v>
      </c>
      <c r="C186" s="30" t="s">
        <v>983</v>
      </c>
      <c r="D186" s="31" t="str">
        <f t="shared" si="4"/>
        <v>FCFS</v>
      </c>
      <c r="E186" s="30" t="s">
        <v>83</v>
      </c>
      <c r="F186" s="32" t="s">
        <v>1048</v>
      </c>
      <c r="H186" s="33">
        <v>43568</v>
      </c>
      <c r="I186" s="34" t="s">
        <v>1079</v>
      </c>
      <c r="J186" s="31" t="s">
        <v>77</v>
      </c>
    </row>
    <row r="187" spans="1:10" ht="16" x14ac:dyDescent="0.2">
      <c r="A187" s="30" t="s">
        <v>1014</v>
      </c>
      <c r="C187" s="30" t="s">
        <v>983</v>
      </c>
      <c r="D187" s="31" t="str">
        <f t="shared" si="4"/>
        <v>FCFS</v>
      </c>
      <c r="E187" s="30" t="s">
        <v>83</v>
      </c>
      <c r="F187" s="32" t="s">
        <v>1048</v>
      </c>
      <c r="H187" s="33">
        <v>43568</v>
      </c>
      <c r="I187" s="34" t="s">
        <v>1080</v>
      </c>
      <c r="J187" s="31" t="s">
        <v>77</v>
      </c>
    </row>
    <row r="188" spans="1:10" ht="16" x14ac:dyDescent="0.2">
      <c r="A188" s="30" t="s">
        <v>1015</v>
      </c>
      <c r="C188" s="30" t="s">
        <v>983</v>
      </c>
      <c r="D188" s="31" t="str">
        <f t="shared" si="4"/>
        <v>FCFS</v>
      </c>
      <c r="E188" s="30" t="s">
        <v>83</v>
      </c>
      <c r="F188" s="32" t="s">
        <v>1048</v>
      </c>
      <c r="H188" s="33">
        <v>43568</v>
      </c>
      <c r="I188" s="34" t="s">
        <v>1081</v>
      </c>
      <c r="J188" s="31" t="s">
        <v>77</v>
      </c>
    </row>
    <row r="189" spans="1:10" ht="16" x14ac:dyDescent="0.2">
      <c r="A189" s="30" t="s">
        <v>1016</v>
      </c>
      <c r="C189" s="30" t="s">
        <v>983</v>
      </c>
      <c r="D189" s="31" t="str">
        <f t="shared" si="4"/>
        <v>FCFS</v>
      </c>
      <c r="E189" s="30" t="s">
        <v>83</v>
      </c>
      <c r="F189" s="32" t="s">
        <v>1048</v>
      </c>
      <c r="H189" s="33">
        <v>43568</v>
      </c>
      <c r="I189" s="34" t="s">
        <v>1082</v>
      </c>
      <c r="J189" s="31" t="s">
        <v>77</v>
      </c>
    </row>
    <row r="190" spans="1:10" ht="16" x14ac:dyDescent="0.2">
      <c r="A190" s="30" t="s">
        <v>1017</v>
      </c>
      <c r="C190" s="30" t="s">
        <v>983</v>
      </c>
      <c r="D190" s="31" t="str">
        <f t="shared" si="4"/>
        <v>FCFS</v>
      </c>
      <c r="E190" s="30" t="s">
        <v>83</v>
      </c>
      <c r="F190" s="32" t="s">
        <v>1048</v>
      </c>
      <c r="H190" s="33">
        <v>43568</v>
      </c>
      <c r="I190" s="34" t="s">
        <v>1083</v>
      </c>
      <c r="J190" s="31" t="s">
        <v>77</v>
      </c>
    </row>
    <row r="191" spans="1:10" ht="16" x14ac:dyDescent="0.2">
      <c r="A191" s="30" t="s">
        <v>1018</v>
      </c>
      <c r="C191" s="30" t="s">
        <v>983</v>
      </c>
      <c r="D191" s="31" t="str">
        <f t="shared" si="4"/>
        <v>FCFS</v>
      </c>
      <c r="E191" s="30" t="s">
        <v>83</v>
      </c>
      <c r="F191" s="32" t="s">
        <v>1048</v>
      </c>
      <c r="H191" s="33">
        <v>43568</v>
      </c>
      <c r="I191" s="34" t="s">
        <v>1084</v>
      </c>
      <c r="J191" s="31" t="s">
        <v>77</v>
      </c>
    </row>
    <row r="192" spans="1:10" ht="16" x14ac:dyDescent="0.2">
      <c r="A192" s="30" t="s">
        <v>1019</v>
      </c>
      <c r="C192" s="30" t="s">
        <v>983</v>
      </c>
      <c r="D192" s="31" t="str">
        <f t="shared" si="4"/>
        <v>FCFS</v>
      </c>
      <c r="E192" s="30" t="s">
        <v>83</v>
      </c>
      <c r="F192" s="32" t="s">
        <v>1048</v>
      </c>
      <c r="H192" s="33">
        <v>43568</v>
      </c>
      <c r="I192" s="34" t="s">
        <v>1051</v>
      </c>
      <c r="J192" s="31" t="s">
        <v>77</v>
      </c>
    </row>
    <row r="193" spans="1:10" ht="16" x14ac:dyDescent="0.2">
      <c r="A193" s="30" t="s">
        <v>1020</v>
      </c>
      <c r="C193" s="30" t="s">
        <v>983</v>
      </c>
      <c r="D193" s="31" t="str">
        <f t="shared" si="4"/>
        <v>FCFS</v>
      </c>
      <c r="E193" s="30" t="s">
        <v>83</v>
      </c>
      <c r="F193" s="32" t="s">
        <v>1048</v>
      </c>
      <c r="H193" s="33">
        <v>43568</v>
      </c>
      <c r="I193" s="34" t="s">
        <v>1053</v>
      </c>
      <c r="J193" s="31" t="s">
        <v>77</v>
      </c>
    </row>
    <row r="194" spans="1:10" ht="16" x14ac:dyDescent="0.2">
      <c r="A194" s="30" t="s">
        <v>1021</v>
      </c>
      <c r="C194" s="30" t="s">
        <v>983</v>
      </c>
      <c r="D194" s="31" t="str">
        <f t="shared" si="4"/>
        <v>FCFS</v>
      </c>
      <c r="E194" s="30" t="s">
        <v>83</v>
      </c>
      <c r="F194" s="32" t="s">
        <v>1048</v>
      </c>
      <c r="H194" s="33">
        <v>43568</v>
      </c>
      <c r="I194" s="34" t="s">
        <v>1052</v>
      </c>
      <c r="J194" s="31" t="s">
        <v>77</v>
      </c>
    </row>
    <row r="195" spans="1:10" ht="16" x14ac:dyDescent="0.2">
      <c r="A195" s="30" t="s">
        <v>1022</v>
      </c>
      <c r="C195" s="30" t="s">
        <v>983</v>
      </c>
      <c r="D195" s="31" t="str">
        <f t="shared" si="4"/>
        <v>FCFS</v>
      </c>
      <c r="E195" s="30" t="s">
        <v>83</v>
      </c>
      <c r="F195" s="32" t="s">
        <v>1048</v>
      </c>
      <c r="H195" s="33">
        <v>43568</v>
      </c>
      <c r="I195" s="34" t="s">
        <v>1054</v>
      </c>
      <c r="J195" s="31" t="s">
        <v>77</v>
      </c>
    </row>
    <row r="196" spans="1:10" ht="16" x14ac:dyDescent="0.2">
      <c r="A196" s="30" t="s">
        <v>1023</v>
      </c>
      <c r="C196" s="30" t="s">
        <v>983</v>
      </c>
      <c r="D196" s="31" t="str">
        <f t="shared" si="4"/>
        <v>FCFS</v>
      </c>
      <c r="E196" s="30" t="s">
        <v>83</v>
      </c>
      <c r="F196" s="32" t="s">
        <v>1048</v>
      </c>
      <c r="H196" s="33">
        <v>43568</v>
      </c>
      <c r="I196" s="34" t="s">
        <v>1055</v>
      </c>
      <c r="J196" s="31" t="s">
        <v>77</v>
      </c>
    </row>
    <row r="197" spans="1:10" ht="16" x14ac:dyDescent="0.2">
      <c r="A197" s="30" t="s">
        <v>1024</v>
      </c>
      <c r="C197" s="30" t="s">
        <v>983</v>
      </c>
      <c r="D197" s="31" t="str">
        <f t="shared" si="4"/>
        <v>FCFS</v>
      </c>
      <c r="E197" s="30" t="s">
        <v>83</v>
      </c>
      <c r="F197" s="32" t="s">
        <v>1048</v>
      </c>
      <c r="H197" s="33">
        <v>43568</v>
      </c>
      <c r="I197" s="34" t="s">
        <v>1064</v>
      </c>
      <c r="J197" s="31" t="s">
        <v>77</v>
      </c>
    </row>
    <row r="198" spans="1:10" ht="16" x14ac:dyDescent="0.2">
      <c r="A198" s="30" t="s">
        <v>1025</v>
      </c>
      <c r="C198" s="30" t="s">
        <v>983</v>
      </c>
      <c r="D198" s="31" t="str">
        <f t="shared" si="4"/>
        <v>FCFS</v>
      </c>
      <c r="E198" s="30" t="s">
        <v>83</v>
      </c>
      <c r="F198" s="32" t="s">
        <v>1048</v>
      </c>
      <c r="H198" s="33">
        <v>43568</v>
      </c>
      <c r="I198" s="34" t="s">
        <v>1065</v>
      </c>
      <c r="J198" s="31" t="s">
        <v>77</v>
      </c>
    </row>
    <row r="199" spans="1:10" ht="16" x14ac:dyDescent="0.2">
      <c r="A199" s="30" t="s">
        <v>1026</v>
      </c>
      <c r="C199" s="30" t="s">
        <v>983</v>
      </c>
      <c r="D199" s="31" t="str">
        <f t="shared" si="4"/>
        <v>FCFS</v>
      </c>
      <c r="E199" s="30" t="s">
        <v>83</v>
      </c>
      <c r="F199" s="32" t="s">
        <v>1048</v>
      </c>
      <c r="H199" s="33">
        <v>43568</v>
      </c>
      <c r="I199" s="34" t="s">
        <v>1066</v>
      </c>
      <c r="J199" s="31" t="s">
        <v>77</v>
      </c>
    </row>
    <row r="200" spans="1:10" ht="16" x14ac:dyDescent="0.2">
      <c r="A200" s="30" t="s">
        <v>1027</v>
      </c>
      <c r="C200" s="30" t="s">
        <v>983</v>
      </c>
      <c r="D200" s="31" t="str">
        <f t="shared" si="4"/>
        <v>FCFS</v>
      </c>
      <c r="E200" s="30" t="s">
        <v>83</v>
      </c>
      <c r="F200" s="32" t="s">
        <v>1048</v>
      </c>
      <c r="H200" s="33">
        <v>43568</v>
      </c>
      <c r="I200" s="34" t="s">
        <v>1067</v>
      </c>
      <c r="J200" s="31" t="s">
        <v>77</v>
      </c>
    </row>
    <row r="201" spans="1:10" ht="16" x14ac:dyDescent="0.2">
      <c r="A201" s="30" t="s">
        <v>1028</v>
      </c>
      <c r="C201" s="30" t="s">
        <v>983</v>
      </c>
      <c r="D201" s="31" t="str">
        <f t="shared" si="4"/>
        <v>FCFS</v>
      </c>
      <c r="E201" s="30" t="s">
        <v>83</v>
      </c>
      <c r="F201" s="32" t="s">
        <v>1048</v>
      </c>
      <c r="H201" s="33">
        <v>43568</v>
      </c>
      <c r="I201" s="34" t="s">
        <v>1068</v>
      </c>
      <c r="J201" s="31" t="s">
        <v>77</v>
      </c>
    </row>
    <row r="202" spans="1:10" ht="16" x14ac:dyDescent="0.2">
      <c r="A202" s="30" t="s">
        <v>1029</v>
      </c>
      <c r="C202" s="30" t="s">
        <v>983</v>
      </c>
      <c r="D202" s="31" t="str">
        <f t="shared" si="4"/>
        <v>FCFS</v>
      </c>
      <c r="E202" s="30" t="s">
        <v>83</v>
      </c>
      <c r="F202" s="32" t="s">
        <v>1048</v>
      </c>
      <c r="H202" s="33">
        <v>43568</v>
      </c>
      <c r="I202" s="34" t="s">
        <v>1069</v>
      </c>
      <c r="J202" s="31" t="s">
        <v>77</v>
      </c>
    </row>
    <row r="203" spans="1:10" ht="16" x14ac:dyDescent="0.2">
      <c r="A203" s="30" t="s">
        <v>1030</v>
      </c>
      <c r="C203" s="30" t="s">
        <v>983</v>
      </c>
      <c r="D203" s="31" t="str">
        <f t="shared" si="4"/>
        <v>FCFS</v>
      </c>
      <c r="E203" s="30" t="s">
        <v>83</v>
      </c>
      <c r="F203" s="32" t="s">
        <v>1048</v>
      </c>
      <c r="H203" s="33">
        <v>43568</v>
      </c>
      <c r="I203" s="34" t="s">
        <v>1049</v>
      </c>
      <c r="J203" s="31" t="s">
        <v>77</v>
      </c>
    </row>
    <row r="204" spans="1:10" ht="32" x14ac:dyDescent="0.2">
      <c r="A204" s="30" t="s">
        <v>1031</v>
      </c>
      <c r="C204" s="30" t="s">
        <v>983</v>
      </c>
      <c r="D204" s="31" t="str">
        <f t="shared" si="4"/>
        <v>FCFS</v>
      </c>
      <c r="E204" s="30" t="s">
        <v>83</v>
      </c>
      <c r="F204" s="32" t="s">
        <v>1048</v>
      </c>
      <c r="H204" s="33">
        <v>43568</v>
      </c>
      <c r="I204" s="34" t="s">
        <v>1058</v>
      </c>
      <c r="J204" s="31" t="s">
        <v>77</v>
      </c>
    </row>
    <row r="205" spans="1:10" ht="16" x14ac:dyDescent="0.2">
      <c r="A205" s="30" t="s">
        <v>1032</v>
      </c>
      <c r="C205" s="30" t="s">
        <v>983</v>
      </c>
      <c r="D205" s="31" t="str">
        <f t="shared" si="4"/>
        <v>FCFS</v>
      </c>
      <c r="E205" s="30" t="s">
        <v>83</v>
      </c>
      <c r="F205" s="32" t="s">
        <v>1048</v>
      </c>
      <c r="H205" s="33">
        <v>43568</v>
      </c>
      <c r="I205" s="34" t="s">
        <v>1059</v>
      </c>
      <c r="J205" s="31" t="s">
        <v>77</v>
      </c>
    </row>
    <row r="206" spans="1:10" ht="16" x14ac:dyDescent="0.2">
      <c r="A206" s="30" t="s">
        <v>1033</v>
      </c>
      <c r="C206" s="30" t="s">
        <v>983</v>
      </c>
      <c r="D206" s="31" t="str">
        <f t="shared" si="4"/>
        <v>FCFS</v>
      </c>
      <c r="E206" s="30" t="s">
        <v>83</v>
      </c>
      <c r="F206" s="32" t="s">
        <v>1048</v>
      </c>
      <c r="H206" s="33">
        <v>43568</v>
      </c>
      <c r="I206" s="34" t="s">
        <v>1060</v>
      </c>
      <c r="J206" s="31" t="s">
        <v>77</v>
      </c>
    </row>
    <row r="207" spans="1:10" ht="16" x14ac:dyDescent="0.2">
      <c r="A207" s="30" t="s">
        <v>1034</v>
      </c>
      <c r="C207" s="30" t="s">
        <v>983</v>
      </c>
      <c r="D207" s="31" t="str">
        <f t="shared" si="4"/>
        <v>FCFS</v>
      </c>
      <c r="E207" s="30" t="s">
        <v>83</v>
      </c>
      <c r="F207" s="32" t="s">
        <v>1048</v>
      </c>
      <c r="H207" s="33">
        <v>43568</v>
      </c>
      <c r="I207" s="34" t="s">
        <v>1061</v>
      </c>
      <c r="J207" s="31" t="s">
        <v>77</v>
      </c>
    </row>
    <row r="208" spans="1:10" ht="16" x14ac:dyDescent="0.2">
      <c r="A208" s="30" t="s">
        <v>1035</v>
      </c>
      <c r="C208" s="30" t="s">
        <v>983</v>
      </c>
      <c r="D208" s="31" t="str">
        <f t="shared" si="4"/>
        <v>FCFS</v>
      </c>
      <c r="E208" s="30" t="s">
        <v>83</v>
      </c>
      <c r="F208" s="32" t="s">
        <v>1048</v>
      </c>
      <c r="H208" s="33">
        <v>43568</v>
      </c>
      <c r="I208" s="34" t="s">
        <v>1070</v>
      </c>
      <c r="J208" s="31" t="s">
        <v>77</v>
      </c>
    </row>
    <row r="209" spans="1:10" ht="16" x14ac:dyDescent="0.2">
      <c r="A209" s="30" t="s">
        <v>1036</v>
      </c>
      <c r="C209" s="30" t="s">
        <v>983</v>
      </c>
      <c r="D209" s="31" t="str">
        <f t="shared" si="4"/>
        <v>FCFS</v>
      </c>
      <c r="E209" s="30" t="s">
        <v>83</v>
      </c>
      <c r="F209" s="32" t="s">
        <v>1048</v>
      </c>
      <c r="H209" s="33">
        <v>43568</v>
      </c>
      <c r="I209" s="34" t="s">
        <v>1062</v>
      </c>
      <c r="J209" s="31" t="s">
        <v>77</v>
      </c>
    </row>
    <row r="210" spans="1:10" ht="16" x14ac:dyDescent="0.2">
      <c r="A210" s="30" t="s">
        <v>1037</v>
      </c>
      <c r="C210" s="30" t="s">
        <v>983</v>
      </c>
      <c r="D210" s="31" t="str">
        <f t="shared" si="4"/>
        <v>FCFS</v>
      </c>
      <c r="E210" s="30" t="s">
        <v>83</v>
      </c>
      <c r="F210" s="32" t="s">
        <v>1048</v>
      </c>
      <c r="H210" s="33">
        <v>43568</v>
      </c>
      <c r="I210" s="34" t="s">
        <v>1198</v>
      </c>
      <c r="J210" s="31" t="s">
        <v>77</v>
      </c>
    </row>
    <row r="211" spans="1:10" ht="32" x14ac:dyDescent="0.2">
      <c r="A211" s="30" t="s">
        <v>1038</v>
      </c>
      <c r="C211" s="30" t="s">
        <v>983</v>
      </c>
      <c r="D211" s="31" t="str">
        <f t="shared" si="4"/>
        <v>FCFS</v>
      </c>
      <c r="E211" s="30" t="s">
        <v>83</v>
      </c>
      <c r="F211" s="32" t="s">
        <v>1048</v>
      </c>
      <c r="H211" s="33">
        <v>43568</v>
      </c>
      <c r="I211" s="34" t="s">
        <v>1205</v>
      </c>
      <c r="J211" s="31" t="s">
        <v>77</v>
      </c>
    </row>
    <row r="212" spans="1:10" ht="16" x14ac:dyDescent="0.2">
      <c r="A212" s="30" t="s">
        <v>1039</v>
      </c>
      <c r="C212" s="30" t="s">
        <v>983</v>
      </c>
      <c r="D212" s="31" t="str">
        <f t="shared" si="4"/>
        <v>FCFS</v>
      </c>
      <c r="E212" s="30" t="s">
        <v>83</v>
      </c>
      <c r="F212" s="32" t="s">
        <v>1048</v>
      </c>
      <c r="H212" s="33">
        <v>43568</v>
      </c>
      <c r="I212" s="34" t="s">
        <v>1056</v>
      </c>
      <c r="J212" s="31" t="s">
        <v>77</v>
      </c>
    </row>
    <row r="213" spans="1:10" ht="16" x14ac:dyDescent="0.2">
      <c r="A213" s="30" t="s">
        <v>1040</v>
      </c>
      <c r="C213" s="30" t="s">
        <v>983</v>
      </c>
      <c r="D213" s="31" t="str">
        <f t="shared" si="4"/>
        <v>FCFS</v>
      </c>
      <c r="E213" s="30" t="s">
        <v>83</v>
      </c>
      <c r="F213" s="32" t="s">
        <v>1048</v>
      </c>
      <c r="H213" s="33">
        <v>43568</v>
      </c>
      <c r="I213" s="34" t="s">
        <v>1050</v>
      </c>
      <c r="J213" s="31" t="s">
        <v>77</v>
      </c>
    </row>
    <row r="214" spans="1:10" ht="32" x14ac:dyDescent="0.2">
      <c r="A214" s="30" t="s">
        <v>1041</v>
      </c>
      <c r="C214" s="30" t="s">
        <v>983</v>
      </c>
      <c r="D214" s="31" t="str">
        <f t="shared" si="4"/>
        <v>FCFS</v>
      </c>
      <c r="E214" s="30" t="s">
        <v>83</v>
      </c>
      <c r="F214" s="32" t="s">
        <v>1048</v>
      </c>
      <c r="H214" s="33">
        <v>43568</v>
      </c>
      <c r="I214" s="34" t="s">
        <v>1206</v>
      </c>
      <c r="J214" s="31" t="s">
        <v>77</v>
      </c>
    </row>
    <row r="215" spans="1:10" ht="16" x14ac:dyDescent="0.2">
      <c r="A215" s="30" t="s">
        <v>1042</v>
      </c>
      <c r="C215" s="30" t="s">
        <v>983</v>
      </c>
      <c r="D215" s="31" t="str">
        <f t="shared" si="4"/>
        <v>FCFS</v>
      </c>
      <c r="E215" s="30" t="s">
        <v>83</v>
      </c>
      <c r="F215" s="32" t="s">
        <v>1048</v>
      </c>
      <c r="H215" s="33">
        <v>43568</v>
      </c>
      <c r="I215" s="34" t="s">
        <v>1063</v>
      </c>
      <c r="J215" s="31" t="s">
        <v>77</v>
      </c>
    </row>
    <row r="216" spans="1:10" ht="16" x14ac:dyDescent="0.2">
      <c r="A216" s="30" t="s">
        <v>1043</v>
      </c>
      <c r="C216" s="30" t="s">
        <v>983</v>
      </c>
      <c r="D216" s="31" t="str">
        <f t="shared" si="4"/>
        <v>FCFS</v>
      </c>
      <c r="E216" s="30" t="s">
        <v>83</v>
      </c>
      <c r="F216" s="32" t="s">
        <v>1048</v>
      </c>
      <c r="H216" s="33">
        <v>43568</v>
      </c>
      <c r="I216" s="34" t="s">
        <v>1071</v>
      </c>
      <c r="J216" s="31" t="s">
        <v>77</v>
      </c>
    </row>
    <row r="217" spans="1:10" ht="16" x14ac:dyDescent="0.2">
      <c r="A217" s="30" t="s">
        <v>1044</v>
      </c>
      <c r="C217" s="30" t="s">
        <v>983</v>
      </c>
      <c r="D217" s="31" t="str">
        <f t="shared" si="4"/>
        <v>FCFS</v>
      </c>
      <c r="E217" s="30" t="s">
        <v>83</v>
      </c>
      <c r="F217" s="32" t="s">
        <v>1048</v>
      </c>
      <c r="H217" s="33">
        <v>43568</v>
      </c>
      <c r="I217" s="34" t="s">
        <v>1207</v>
      </c>
      <c r="J217" s="31" t="s">
        <v>77</v>
      </c>
    </row>
    <row r="218" spans="1:10" ht="16" x14ac:dyDescent="0.2">
      <c r="A218" s="30" t="s">
        <v>1045</v>
      </c>
      <c r="C218" s="30" t="s">
        <v>983</v>
      </c>
      <c r="D218" s="31" t="str">
        <f t="shared" si="4"/>
        <v>FCFS</v>
      </c>
      <c r="E218" s="30" t="s">
        <v>83</v>
      </c>
      <c r="F218" s="32" t="s">
        <v>1048</v>
      </c>
      <c r="H218" s="33">
        <v>43568</v>
      </c>
      <c r="I218" s="34" t="s">
        <v>1057</v>
      </c>
      <c r="J218" s="31" t="s">
        <v>77</v>
      </c>
    </row>
    <row r="219" spans="1:10" ht="32" x14ac:dyDescent="0.2">
      <c r="A219" s="30" t="s">
        <v>1046</v>
      </c>
      <c r="C219" s="30" t="s">
        <v>983</v>
      </c>
      <c r="D219" s="31" t="str">
        <f t="shared" si="4"/>
        <v>FCFS</v>
      </c>
      <c r="E219" s="30" t="s">
        <v>83</v>
      </c>
      <c r="F219" s="32" t="s">
        <v>1048</v>
      </c>
      <c r="H219" s="33">
        <v>43568</v>
      </c>
      <c r="I219" s="34" t="s">
        <v>1199</v>
      </c>
      <c r="J219" s="31" t="s">
        <v>77</v>
      </c>
    </row>
    <row r="220" spans="1:10" ht="32" x14ac:dyDescent="0.2">
      <c r="A220" s="30" t="s">
        <v>1047</v>
      </c>
      <c r="C220" s="30" t="s">
        <v>983</v>
      </c>
      <c r="D220" s="31" t="str">
        <f t="shared" si="4"/>
        <v>FCFS</v>
      </c>
      <c r="E220" s="30" t="s">
        <v>83</v>
      </c>
      <c r="F220" s="32" t="s">
        <v>1048</v>
      </c>
      <c r="H220" s="33">
        <v>43568</v>
      </c>
      <c r="I220" s="34" t="s">
        <v>1202</v>
      </c>
      <c r="J220" s="31" t="s">
        <v>77</v>
      </c>
    </row>
    <row r="221" spans="1:10" x14ac:dyDescent="0.2">
      <c r="B221" s="32" t="s">
        <v>192</v>
      </c>
    </row>
  </sheetData>
  <autoFilter ref="A1:I221" xr:uid="{2380391B-3BDF-4493-8ADF-59938845BC71}"/>
  <dataConsolidate/>
  <conditionalFormatting sqref="A1:J1048576">
    <cfRule type="expression" dxfId="75" priority="3">
      <formula>$D1="Licensed"</formula>
    </cfRule>
  </conditionalFormatting>
  <dataValidations count="1">
    <dataValidation type="list" allowBlank="1" showInputMessage="1" showErrorMessage="1" sqref="E1:E1048576" xr:uid="{FD86358C-271E-427C-AD3E-B430DCE60ACF}">
      <formula1>measure_types</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94D1-905E-47E2-AA16-D49C0284AD0F}">
  <sheetPr codeName="Sheet2"/>
  <dimension ref="A1:Q438"/>
  <sheetViews>
    <sheetView topLeftCell="K1" zoomScale="114" zoomScaleNormal="70" workbookViewId="0">
      <pane ySplit="1" topLeftCell="A2" activePane="bottomLeft" state="frozen"/>
      <selection pane="bottomLeft" activeCell="Q23" sqref="Q23"/>
    </sheetView>
  </sheetViews>
  <sheetFormatPr baseColWidth="10" defaultColWidth="8.83203125" defaultRowHeight="15" x14ac:dyDescent="0.2"/>
  <cols>
    <col min="1" max="1" width="19.5" style="4" bestFit="1" customWidth="1"/>
    <col min="2" max="2" width="28.83203125" style="17" bestFit="1" customWidth="1"/>
    <col min="3" max="3" width="19.5" style="17" customWidth="1"/>
    <col min="4" max="4" width="16.83203125" style="14" bestFit="1" customWidth="1"/>
    <col min="5" max="5" width="16.33203125" style="14" bestFit="1" customWidth="1"/>
    <col min="6" max="6" width="16.33203125" style="20" customWidth="1"/>
    <col min="7" max="7" width="14" style="15" bestFit="1" customWidth="1"/>
    <col min="8" max="8" width="23.6640625" style="5" bestFit="1" customWidth="1"/>
    <col min="9" max="9" width="19.33203125" style="10" bestFit="1" customWidth="1"/>
    <col min="10" max="10" width="12.33203125" style="10" bestFit="1" customWidth="1"/>
    <col min="11" max="11" width="16" style="10" bestFit="1" customWidth="1"/>
    <col min="12" max="12" width="19.6640625" style="5" bestFit="1" customWidth="1"/>
    <col min="13" max="13" width="32.5" style="5" bestFit="1" customWidth="1"/>
    <col min="14" max="14" width="19.5" style="5" bestFit="1" customWidth="1"/>
    <col min="15" max="15" width="18.83203125" style="5" bestFit="1" customWidth="1"/>
    <col min="16" max="16" width="23.5" style="5" customWidth="1"/>
    <col min="17" max="17" width="9.1640625" style="8"/>
  </cols>
  <sheetData>
    <row r="1" spans="1:17" x14ac:dyDescent="0.2">
      <c r="A1" s="2" t="s">
        <v>0</v>
      </c>
      <c r="B1" s="16" t="s">
        <v>1387</v>
      </c>
      <c r="C1" s="16" t="s">
        <v>1210</v>
      </c>
      <c r="D1" s="13" t="s">
        <v>1</v>
      </c>
      <c r="E1" s="13" t="s">
        <v>4</v>
      </c>
      <c r="F1" s="21" t="s">
        <v>714</v>
      </c>
      <c r="G1" s="11" t="s">
        <v>5</v>
      </c>
      <c r="H1" s="6" t="s">
        <v>6</v>
      </c>
      <c r="I1" s="9" t="s">
        <v>7</v>
      </c>
      <c r="J1" s="9" t="s">
        <v>8</v>
      </c>
      <c r="K1" s="9" t="s">
        <v>88</v>
      </c>
      <c r="L1" s="6" t="s">
        <v>9</v>
      </c>
      <c r="M1" s="6" t="s">
        <v>10</v>
      </c>
      <c r="N1" s="2" t="s">
        <v>85</v>
      </c>
      <c r="O1" s="2" t="s">
        <v>86</v>
      </c>
      <c r="P1" s="2" t="s">
        <v>1209</v>
      </c>
      <c r="Q1" s="41" t="s">
        <v>1211</v>
      </c>
    </row>
    <row r="2" spans="1:17" x14ac:dyDescent="0.2">
      <c r="A2" s="22" t="s">
        <v>92</v>
      </c>
      <c r="B2" s="17" t="str">
        <f t="shared" ref="B2:B71" si="0">VLOOKUP(A2, quota_order_numbers2, 5, FALSE)</f>
        <v>143 Preferential tariff quota</v>
      </c>
      <c r="C2" s="17" t="str">
        <f>IF(LEFT(A2,3)="094","Licensed","FCFS")</f>
        <v>FCFS</v>
      </c>
      <c r="D2" s="14">
        <v>43568</v>
      </c>
      <c r="E2" s="14">
        <v>43830</v>
      </c>
      <c r="F2" s="20">
        <f>DATEDIF(D2, E2, "d")</f>
        <v>262</v>
      </c>
      <c r="G2" s="15">
        <v>74000</v>
      </c>
      <c r="H2" s="5" t="s">
        <v>27</v>
      </c>
      <c r="I2" s="10">
        <v>3</v>
      </c>
      <c r="J2" s="10" t="s">
        <v>77</v>
      </c>
      <c r="K2" s="10">
        <v>90</v>
      </c>
      <c r="P2" s="5" t="str">
        <f t="shared" ref="P2:P65" si="1">VLOOKUP(A2, quota_order_numbers2, 6, FALSE)</f>
        <v>CH</v>
      </c>
      <c r="Q2" s="10">
        <f t="shared" ref="Q2:Q65" si="2">VLOOKUP(A2, quota_order_numbers2, 2, FALSE)</f>
        <v>0</v>
      </c>
    </row>
    <row r="3" spans="1:17" x14ac:dyDescent="0.2">
      <c r="A3" s="4" t="s">
        <v>93</v>
      </c>
      <c r="B3" s="17" t="str">
        <f t="shared" si="0"/>
        <v>143 Preferential tariff quota</v>
      </c>
      <c r="C3" s="17" t="str">
        <f t="shared" ref="C3:C66" si="3">IF(LEFT(A3,3)="094","Licensed","FCFS")</f>
        <v>FCFS</v>
      </c>
      <c r="D3" s="14">
        <v>43568</v>
      </c>
      <c r="E3" s="14">
        <v>43830</v>
      </c>
      <c r="F3" s="20">
        <f t="shared" ref="F3:F72" si="4">DATEDIF(D3, E3, "d")</f>
        <v>262</v>
      </c>
      <c r="G3" s="15">
        <v>155000</v>
      </c>
      <c r="H3" s="5" t="s">
        <v>27</v>
      </c>
      <c r="I3" s="10">
        <v>3</v>
      </c>
      <c r="J3" s="10" t="s">
        <v>77</v>
      </c>
      <c r="K3" s="10">
        <v>90</v>
      </c>
      <c r="P3" s="5" t="str">
        <f t="shared" si="1"/>
        <v>CH</v>
      </c>
      <c r="Q3" s="10">
        <f t="shared" si="2"/>
        <v>0</v>
      </c>
    </row>
    <row r="4" spans="1:17" x14ac:dyDescent="0.2">
      <c r="A4" s="4" t="s">
        <v>94</v>
      </c>
      <c r="B4" s="17" t="str">
        <f t="shared" si="0"/>
        <v>143 Preferential tariff quota</v>
      </c>
      <c r="C4" s="17" t="str">
        <f t="shared" si="3"/>
        <v>FCFS</v>
      </c>
      <c r="D4" s="14">
        <v>43568</v>
      </c>
      <c r="E4" s="14">
        <v>43830</v>
      </c>
      <c r="F4" s="20">
        <f t="shared" si="4"/>
        <v>262</v>
      </c>
      <c r="G4" s="15">
        <v>39000</v>
      </c>
      <c r="H4" s="5" t="s">
        <v>27</v>
      </c>
      <c r="I4" s="10">
        <v>3</v>
      </c>
      <c r="J4" s="10" t="s">
        <v>77</v>
      </c>
      <c r="K4" s="10">
        <v>90</v>
      </c>
      <c r="P4" s="5" t="str">
        <f t="shared" si="1"/>
        <v>CH</v>
      </c>
      <c r="Q4" s="10">
        <f t="shared" si="2"/>
        <v>0</v>
      </c>
    </row>
    <row r="5" spans="1:17" x14ac:dyDescent="0.2">
      <c r="A5" s="4" t="s">
        <v>95</v>
      </c>
      <c r="B5" s="17" t="str">
        <f t="shared" si="0"/>
        <v>143 Preferential tariff quota</v>
      </c>
      <c r="C5" s="17" t="str">
        <f t="shared" si="3"/>
        <v>FCFS</v>
      </c>
      <c r="D5" s="14">
        <v>43568</v>
      </c>
      <c r="E5" s="14">
        <v>43830</v>
      </c>
      <c r="F5" s="20">
        <f t="shared" si="4"/>
        <v>262</v>
      </c>
      <c r="G5" s="15">
        <v>193000</v>
      </c>
      <c r="H5" s="5" t="s">
        <v>27</v>
      </c>
      <c r="I5" s="10">
        <v>3</v>
      </c>
      <c r="J5" s="10" t="s">
        <v>77</v>
      </c>
      <c r="K5" s="10">
        <v>90</v>
      </c>
      <c r="P5" s="5" t="str">
        <f t="shared" si="1"/>
        <v>CH</v>
      </c>
      <c r="Q5" s="10">
        <f t="shared" si="2"/>
        <v>0</v>
      </c>
    </row>
    <row r="6" spans="1:17" x14ac:dyDescent="0.2">
      <c r="A6" s="4" t="s">
        <v>96</v>
      </c>
      <c r="B6" s="17" t="str">
        <f t="shared" si="0"/>
        <v>143 Preferential tariff quota</v>
      </c>
      <c r="C6" s="17" t="str">
        <f t="shared" si="3"/>
        <v>FCFS</v>
      </c>
      <c r="D6" s="14">
        <v>43568</v>
      </c>
      <c r="E6" s="14">
        <v>43830</v>
      </c>
      <c r="F6" s="20">
        <f t="shared" si="4"/>
        <v>262</v>
      </c>
      <c r="G6" s="15">
        <v>213000</v>
      </c>
      <c r="H6" s="5" t="s">
        <v>27</v>
      </c>
      <c r="I6" s="10">
        <v>3</v>
      </c>
      <c r="J6" s="10" t="s">
        <v>77</v>
      </c>
      <c r="K6" s="10">
        <v>90</v>
      </c>
      <c r="P6" s="5" t="str">
        <f t="shared" si="1"/>
        <v>CH</v>
      </c>
      <c r="Q6" s="10">
        <f t="shared" si="2"/>
        <v>0</v>
      </c>
    </row>
    <row r="7" spans="1:17" x14ac:dyDescent="0.2">
      <c r="A7" s="4" t="s">
        <v>97</v>
      </c>
      <c r="B7" s="17" t="str">
        <f t="shared" si="0"/>
        <v>143 Preferential tariff quota</v>
      </c>
      <c r="C7" s="17" t="str">
        <f t="shared" si="3"/>
        <v>FCFS</v>
      </c>
      <c r="D7" s="14">
        <v>43568</v>
      </c>
      <c r="E7" s="14">
        <v>43830</v>
      </c>
      <c r="F7" s="20">
        <f t="shared" si="4"/>
        <v>262</v>
      </c>
      <c r="G7" s="15">
        <v>116000</v>
      </c>
      <c r="H7" s="5" t="s">
        <v>27</v>
      </c>
      <c r="I7" s="10">
        <v>3</v>
      </c>
      <c r="J7" s="10" t="s">
        <v>77</v>
      </c>
      <c r="K7" s="10">
        <v>90</v>
      </c>
      <c r="P7" s="5" t="str">
        <f t="shared" si="1"/>
        <v>CH</v>
      </c>
      <c r="Q7" s="10">
        <f t="shared" si="2"/>
        <v>0</v>
      </c>
    </row>
    <row r="8" spans="1:17" x14ac:dyDescent="0.2">
      <c r="A8" s="4" t="s">
        <v>98</v>
      </c>
      <c r="B8" s="17" t="str">
        <f t="shared" si="0"/>
        <v>143 Preferential tariff quota</v>
      </c>
      <c r="C8" s="17" t="str">
        <f t="shared" si="3"/>
        <v>FCFS</v>
      </c>
      <c r="D8" s="14">
        <v>43568</v>
      </c>
      <c r="E8" s="14">
        <v>43830</v>
      </c>
      <c r="F8" s="20">
        <f t="shared" si="4"/>
        <v>262</v>
      </c>
      <c r="G8" s="15">
        <v>193000</v>
      </c>
      <c r="H8" s="5" t="s">
        <v>27</v>
      </c>
      <c r="I8" s="10">
        <v>3</v>
      </c>
      <c r="J8" s="10" t="s">
        <v>77</v>
      </c>
      <c r="K8" s="10">
        <v>90</v>
      </c>
      <c r="P8" s="5" t="str">
        <f t="shared" si="1"/>
        <v>CH</v>
      </c>
      <c r="Q8" s="10">
        <f t="shared" si="2"/>
        <v>0</v>
      </c>
    </row>
    <row r="9" spans="1:17" x14ac:dyDescent="0.2">
      <c r="A9" s="4" t="s">
        <v>99</v>
      </c>
      <c r="B9" s="17" t="str">
        <f t="shared" si="0"/>
        <v>143 Preferential tariff quota</v>
      </c>
      <c r="C9" s="17" t="str">
        <f t="shared" si="3"/>
        <v>FCFS</v>
      </c>
      <c r="D9" s="14">
        <v>43568</v>
      </c>
      <c r="E9" s="14">
        <v>43830</v>
      </c>
      <c r="F9" s="20">
        <f t="shared" si="4"/>
        <v>262</v>
      </c>
      <c r="G9" s="15">
        <v>116000</v>
      </c>
      <c r="H9" s="5" t="s">
        <v>27</v>
      </c>
      <c r="I9" s="10">
        <v>3</v>
      </c>
      <c r="J9" s="10" t="s">
        <v>77</v>
      </c>
      <c r="K9" s="10">
        <v>90</v>
      </c>
      <c r="P9" s="5" t="str">
        <f t="shared" si="1"/>
        <v>CH</v>
      </c>
      <c r="Q9" s="10">
        <f t="shared" si="2"/>
        <v>0</v>
      </c>
    </row>
    <row r="10" spans="1:17" x14ac:dyDescent="0.2">
      <c r="A10" s="4" t="s">
        <v>100</v>
      </c>
      <c r="B10" s="17" t="str">
        <f t="shared" si="0"/>
        <v>143 Preferential tariff quota</v>
      </c>
      <c r="C10" s="17" t="str">
        <f t="shared" si="3"/>
        <v>FCFS</v>
      </c>
      <c r="D10" s="14">
        <v>43568</v>
      </c>
      <c r="E10" s="14">
        <v>43830</v>
      </c>
      <c r="F10" s="20">
        <f t="shared" si="4"/>
        <v>262</v>
      </c>
      <c r="G10" s="15">
        <v>39000</v>
      </c>
      <c r="H10" s="5" t="s">
        <v>27</v>
      </c>
      <c r="I10" s="10">
        <v>3</v>
      </c>
      <c r="J10" s="10" t="s">
        <v>77</v>
      </c>
      <c r="K10" s="10">
        <v>90</v>
      </c>
      <c r="P10" s="5" t="str">
        <f t="shared" si="1"/>
        <v>CH</v>
      </c>
      <c r="Q10" s="10">
        <f t="shared" si="2"/>
        <v>0</v>
      </c>
    </row>
    <row r="11" spans="1:17" x14ac:dyDescent="0.2">
      <c r="A11" s="4" t="s">
        <v>101</v>
      </c>
      <c r="B11" s="17" t="str">
        <f t="shared" si="0"/>
        <v>143 Preferential tariff quota</v>
      </c>
      <c r="C11" s="17" t="str">
        <f t="shared" si="3"/>
        <v>FCFS</v>
      </c>
      <c r="D11" s="14">
        <v>43568</v>
      </c>
      <c r="E11" s="14">
        <v>43830</v>
      </c>
      <c r="F11" s="20">
        <f t="shared" si="4"/>
        <v>262</v>
      </c>
      <c r="G11" s="15">
        <v>39000</v>
      </c>
      <c r="H11" s="5" t="s">
        <v>27</v>
      </c>
      <c r="I11" s="10">
        <v>3</v>
      </c>
      <c r="J11" s="10" t="s">
        <v>77</v>
      </c>
      <c r="K11" s="10">
        <v>90</v>
      </c>
      <c r="P11" s="5" t="str">
        <f t="shared" si="1"/>
        <v>CH</v>
      </c>
      <c r="Q11" s="10">
        <f t="shared" si="2"/>
        <v>0</v>
      </c>
    </row>
    <row r="12" spans="1:17" x14ac:dyDescent="0.2">
      <c r="A12" s="4" t="s">
        <v>102</v>
      </c>
      <c r="B12" s="17" t="str">
        <f t="shared" si="0"/>
        <v>143 Preferential tariff quota</v>
      </c>
      <c r="C12" s="17" t="str">
        <f t="shared" si="3"/>
        <v>FCFS</v>
      </c>
      <c r="D12" s="14">
        <v>43568</v>
      </c>
      <c r="E12" s="14">
        <v>43830</v>
      </c>
      <c r="F12" s="20">
        <f t="shared" si="4"/>
        <v>262</v>
      </c>
      <c r="G12" s="15">
        <v>19000</v>
      </c>
      <c r="H12" s="5" t="s">
        <v>27</v>
      </c>
      <c r="I12" s="10">
        <v>3</v>
      </c>
      <c r="J12" s="10" t="s">
        <v>77</v>
      </c>
      <c r="K12" s="10">
        <v>90</v>
      </c>
      <c r="P12" s="5" t="str">
        <f t="shared" si="1"/>
        <v>CH</v>
      </c>
      <c r="Q12" s="10">
        <f t="shared" si="2"/>
        <v>0</v>
      </c>
    </row>
    <row r="13" spans="1:17" x14ac:dyDescent="0.2">
      <c r="A13" s="4" t="s">
        <v>103</v>
      </c>
      <c r="B13" s="17" t="str">
        <f t="shared" si="0"/>
        <v>143 Preferential tariff quota</v>
      </c>
      <c r="C13" s="17" t="str">
        <f t="shared" si="3"/>
        <v>FCFS</v>
      </c>
      <c r="D13" s="14">
        <v>43568</v>
      </c>
      <c r="E13" s="14">
        <v>43830</v>
      </c>
      <c r="F13" s="20">
        <f t="shared" si="4"/>
        <v>262</v>
      </c>
      <c r="G13" s="15">
        <v>19000</v>
      </c>
      <c r="H13" s="5" t="s">
        <v>27</v>
      </c>
      <c r="I13" s="10">
        <v>3</v>
      </c>
      <c r="J13" s="10" t="s">
        <v>77</v>
      </c>
      <c r="K13" s="10">
        <v>90</v>
      </c>
      <c r="P13" s="5" t="str">
        <f t="shared" si="1"/>
        <v>CH</v>
      </c>
      <c r="Q13" s="10">
        <f t="shared" si="2"/>
        <v>0</v>
      </c>
    </row>
    <row r="14" spans="1:17" x14ac:dyDescent="0.2">
      <c r="A14" s="4" t="s">
        <v>104</v>
      </c>
      <c r="B14" s="17" t="str">
        <f t="shared" si="0"/>
        <v>143 Preferential tariff quota</v>
      </c>
      <c r="C14" s="17" t="str">
        <f t="shared" si="3"/>
        <v>FCFS</v>
      </c>
      <c r="D14" s="14">
        <v>43568</v>
      </c>
      <c r="E14" s="14">
        <v>43830</v>
      </c>
      <c r="F14" s="20">
        <f t="shared" si="4"/>
        <v>262</v>
      </c>
      <c r="G14" s="15">
        <v>39000</v>
      </c>
      <c r="H14" s="5" t="s">
        <v>27</v>
      </c>
      <c r="I14" s="10">
        <v>3</v>
      </c>
      <c r="J14" s="10" t="s">
        <v>77</v>
      </c>
      <c r="K14" s="10">
        <v>90</v>
      </c>
      <c r="P14" s="5" t="str">
        <f t="shared" si="1"/>
        <v>CH</v>
      </c>
      <c r="Q14" s="10">
        <f t="shared" si="2"/>
        <v>0</v>
      </c>
    </row>
    <row r="15" spans="1:17" x14ac:dyDescent="0.2">
      <c r="A15" s="4" t="s">
        <v>105</v>
      </c>
      <c r="B15" s="17" t="str">
        <f t="shared" si="0"/>
        <v>143 Preferential tariff quota</v>
      </c>
      <c r="C15" s="17" t="str">
        <f t="shared" si="3"/>
        <v>FCFS</v>
      </c>
      <c r="D15" s="14">
        <v>43568</v>
      </c>
      <c r="E15" s="14">
        <v>43830</v>
      </c>
      <c r="F15" s="20">
        <f t="shared" si="4"/>
        <v>262</v>
      </c>
      <c r="G15" s="15">
        <v>39000</v>
      </c>
      <c r="H15" s="5" t="s">
        <v>27</v>
      </c>
      <c r="I15" s="10">
        <v>3</v>
      </c>
      <c r="J15" s="10" t="s">
        <v>77</v>
      </c>
      <c r="K15" s="10">
        <v>90</v>
      </c>
      <c r="P15" s="5" t="str">
        <f t="shared" si="1"/>
        <v>CH</v>
      </c>
      <c r="Q15" s="10">
        <f t="shared" si="2"/>
        <v>0</v>
      </c>
    </row>
    <row r="16" spans="1:17" x14ac:dyDescent="0.2">
      <c r="A16" s="4" t="s">
        <v>106</v>
      </c>
      <c r="B16" s="17" t="str">
        <f t="shared" si="0"/>
        <v>143 Preferential tariff quota</v>
      </c>
      <c r="C16" s="17" t="str">
        <f t="shared" si="3"/>
        <v>FCFS</v>
      </c>
      <c r="D16" s="14">
        <v>43568</v>
      </c>
      <c r="E16" s="14">
        <v>43830</v>
      </c>
      <c r="F16" s="20">
        <f t="shared" si="4"/>
        <v>262</v>
      </c>
      <c r="G16" s="15">
        <v>39000</v>
      </c>
      <c r="H16" s="5" t="s">
        <v>27</v>
      </c>
      <c r="I16" s="10">
        <v>3</v>
      </c>
      <c r="J16" s="10" t="s">
        <v>77</v>
      </c>
      <c r="K16" s="10">
        <v>90</v>
      </c>
      <c r="P16" s="5" t="str">
        <f t="shared" si="1"/>
        <v>CH</v>
      </c>
      <c r="Q16" s="10">
        <f t="shared" si="2"/>
        <v>0</v>
      </c>
    </row>
    <row r="17" spans="1:17" x14ac:dyDescent="0.2">
      <c r="A17" s="4" t="s">
        <v>107</v>
      </c>
      <c r="B17" s="17" t="str">
        <f t="shared" si="0"/>
        <v>143 Preferential tariff quota</v>
      </c>
      <c r="C17" s="17" t="str">
        <f t="shared" si="3"/>
        <v>FCFS</v>
      </c>
      <c r="D17" s="14">
        <v>43568</v>
      </c>
      <c r="E17" s="14">
        <v>43830</v>
      </c>
      <c r="F17" s="20">
        <f t="shared" si="4"/>
        <v>262</v>
      </c>
      <c r="G17" s="15">
        <v>39000</v>
      </c>
      <c r="H17" s="5" t="s">
        <v>27</v>
      </c>
      <c r="I17" s="10">
        <v>3</v>
      </c>
      <c r="J17" s="10" t="s">
        <v>77</v>
      </c>
      <c r="K17" s="10">
        <v>90</v>
      </c>
      <c r="P17" s="5" t="str">
        <f t="shared" si="1"/>
        <v>CH</v>
      </c>
      <c r="Q17" s="10">
        <f t="shared" si="2"/>
        <v>0</v>
      </c>
    </row>
    <row r="18" spans="1:17" x14ac:dyDescent="0.2">
      <c r="A18" s="4" t="s">
        <v>108</v>
      </c>
      <c r="B18" s="17" t="str">
        <f t="shared" si="0"/>
        <v>143 Preferential tariff quota</v>
      </c>
      <c r="C18" s="17" t="str">
        <f t="shared" si="3"/>
        <v>FCFS</v>
      </c>
      <c r="D18" s="14">
        <v>43568</v>
      </c>
      <c r="E18" s="14">
        <v>43830</v>
      </c>
      <c r="F18" s="20">
        <f t="shared" si="4"/>
        <v>262</v>
      </c>
      <c r="G18" s="15">
        <v>39000</v>
      </c>
      <c r="H18" s="5" t="s">
        <v>27</v>
      </c>
      <c r="I18" s="10">
        <v>3</v>
      </c>
      <c r="J18" s="10" t="s">
        <v>77</v>
      </c>
      <c r="K18" s="10">
        <v>90</v>
      </c>
      <c r="P18" s="5" t="str">
        <f t="shared" si="1"/>
        <v>CH</v>
      </c>
      <c r="Q18" s="10">
        <f t="shared" si="2"/>
        <v>0</v>
      </c>
    </row>
    <row r="19" spans="1:17" x14ac:dyDescent="0.2">
      <c r="A19" s="4" t="s">
        <v>109</v>
      </c>
      <c r="B19" s="17" t="str">
        <f t="shared" si="0"/>
        <v>143 Preferential tariff quota</v>
      </c>
      <c r="C19" s="17" t="str">
        <f t="shared" si="3"/>
        <v>FCFS</v>
      </c>
      <c r="D19" s="14">
        <v>43568</v>
      </c>
      <c r="E19" s="14">
        <v>43830</v>
      </c>
      <c r="F19" s="20">
        <f t="shared" si="4"/>
        <v>262</v>
      </c>
      <c r="G19" s="15">
        <v>116000</v>
      </c>
      <c r="H19" s="5" t="s">
        <v>27</v>
      </c>
      <c r="I19" s="10">
        <v>3</v>
      </c>
      <c r="J19" s="10" t="s">
        <v>77</v>
      </c>
      <c r="K19" s="10">
        <v>90</v>
      </c>
      <c r="P19" s="5" t="str">
        <f t="shared" si="1"/>
        <v>CH</v>
      </c>
      <c r="Q19" s="10">
        <f t="shared" si="2"/>
        <v>0</v>
      </c>
    </row>
    <row r="20" spans="1:17" x14ac:dyDescent="0.2">
      <c r="A20" s="4" t="s">
        <v>110</v>
      </c>
      <c r="B20" s="17" t="str">
        <f t="shared" si="0"/>
        <v>143 Preferential tariff quota</v>
      </c>
      <c r="C20" s="17" t="str">
        <f t="shared" si="3"/>
        <v>FCFS</v>
      </c>
      <c r="D20" s="14">
        <v>43568</v>
      </c>
      <c r="E20" s="14">
        <v>43830</v>
      </c>
      <c r="F20" s="20">
        <f t="shared" si="4"/>
        <v>262</v>
      </c>
      <c r="G20" s="15">
        <v>116000</v>
      </c>
      <c r="H20" s="5" t="s">
        <v>27</v>
      </c>
      <c r="I20" s="10">
        <v>3</v>
      </c>
      <c r="J20" s="10" t="s">
        <v>77</v>
      </c>
      <c r="K20" s="10">
        <v>90</v>
      </c>
      <c r="P20" s="5" t="str">
        <f t="shared" si="1"/>
        <v>CH</v>
      </c>
      <c r="Q20" s="10">
        <f t="shared" si="2"/>
        <v>0</v>
      </c>
    </row>
    <row r="21" spans="1:17" x14ac:dyDescent="0.2">
      <c r="A21" s="4" t="s">
        <v>111</v>
      </c>
      <c r="B21" s="17" t="str">
        <f t="shared" si="0"/>
        <v>143 Preferential tariff quota</v>
      </c>
      <c r="C21" s="17" t="str">
        <f t="shared" si="3"/>
        <v>FCFS</v>
      </c>
      <c r="D21" s="14">
        <v>43568</v>
      </c>
      <c r="E21" s="14">
        <v>43830</v>
      </c>
      <c r="F21" s="20">
        <f t="shared" si="4"/>
        <v>262</v>
      </c>
      <c r="G21" s="15">
        <v>19000</v>
      </c>
      <c r="H21" s="5" t="s">
        <v>27</v>
      </c>
      <c r="I21" s="10">
        <v>3</v>
      </c>
      <c r="J21" s="10" t="s">
        <v>77</v>
      </c>
      <c r="K21" s="10">
        <v>90</v>
      </c>
      <c r="P21" s="5" t="str">
        <f t="shared" si="1"/>
        <v>CH</v>
      </c>
      <c r="Q21" s="10">
        <f t="shared" si="2"/>
        <v>0</v>
      </c>
    </row>
    <row r="22" spans="1:17" x14ac:dyDescent="0.2">
      <c r="A22" s="4" t="s">
        <v>112</v>
      </c>
      <c r="B22" s="17" t="str">
        <f t="shared" si="0"/>
        <v>143 Preferential tariff quota</v>
      </c>
      <c r="C22" s="17" t="str">
        <f t="shared" si="3"/>
        <v>FCFS</v>
      </c>
      <c r="D22" s="14">
        <v>43568</v>
      </c>
      <c r="E22" s="14">
        <v>43830</v>
      </c>
      <c r="F22" s="20">
        <f t="shared" si="4"/>
        <v>262</v>
      </c>
      <c r="G22" s="15">
        <v>58000</v>
      </c>
      <c r="H22" s="5" t="s">
        <v>27</v>
      </c>
      <c r="I22" s="10">
        <v>3</v>
      </c>
      <c r="J22" s="10" t="s">
        <v>77</v>
      </c>
      <c r="K22" s="10">
        <v>90</v>
      </c>
      <c r="P22" s="5" t="str">
        <f t="shared" si="1"/>
        <v>CH</v>
      </c>
      <c r="Q22" s="10">
        <f t="shared" si="2"/>
        <v>0</v>
      </c>
    </row>
    <row r="23" spans="1:17" x14ac:dyDescent="0.2">
      <c r="A23" s="4" t="s">
        <v>113</v>
      </c>
      <c r="B23" s="17" t="str">
        <f t="shared" si="0"/>
        <v>143 Preferential tariff quota</v>
      </c>
      <c r="C23" s="17" t="str">
        <f t="shared" si="3"/>
        <v>FCFS</v>
      </c>
      <c r="D23" s="14">
        <v>43568</v>
      </c>
      <c r="E23" s="14">
        <v>43830</v>
      </c>
      <c r="F23" s="20">
        <f t="shared" si="4"/>
        <v>262</v>
      </c>
      <c r="G23" s="15">
        <v>39000</v>
      </c>
      <c r="H23" s="5" t="s">
        <v>27</v>
      </c>
      <c r="I23" s="10">
        <v>3</v>
      </c>
      <c r="J23" s="10" t="s">
        <v>77</v>
      </c>
      <c r="K23" s="10">
        <v>90</v>
      </c>
      <c r="P23" s="5" t="str">
        <f t="shared" si="1"/>
        <v>CH</v>
      </c>
      <c r="Q23" s="10">
        <f t="shared" si="2"/>
        <v>0</v>
      </c>
    </row>
    <row r="24" spans="1:17" x14ac:dyDescent="0.2">
      <c r="A24" s="4" t="s">
        <v>114</v>
      </c>
      <c r="B24" s="17" t="str">
        <f t="shared" si="0"/>
        <v>143 Preferential tariff quota</v>
      </c>
      <c r="C24" s="17" t="str">
        <f t="shared" si="3"/>
        <v>FCFS</v>
      </c>
      <c r="D24" s="14">
        <v>43568</v>
      </c>
      <c r="E24" s="14">
        <v>43830</v>
      </c>
      <c r="F24" s="20">
        <f t="shared" si="4"/>
        <v>262</v>
      </c>
      <c r="G24" s="15">
        <v>4000</v>
      </c>
      <c r="H24" s="5" t="s">
        <v>27</v>
      </c>
      <c r="I24" s="10">
        <v>3</v>
      </c>
      <c r="J24" s="10" t="s">
        <v>77</v>
      </c>
      <c r="K24" s="10">
        <v>90</v>
      </c>
      <c r="P24" s="5" t="str">
        <f t="shared" si="1"/>
        <v>CH</v>
      </c>
      <c r="Q24" s="10">
        <f t="shared" si="2"/>
        <v>0</v>
      </c>
    </row>
    <row r="25" spans="1:17" x14ac:dyDescent="0.2">
      <c r="A25" s="4" t="s">
        <v>115</v>
      </c>
      <c r="B25" s="17" t="str">
        <f t="shared" si="0"/>
        <v>143 Preferential tariff quota</v>
      </c>
      <c r="C25" s="17" t="str">
        <f t="shared" si="3"/>
        <v>FCFS</v>
      </c>
      <c r="D25" s="14">
        <v>43568</v>
      </c>
      <c r="E25" s="14">
        <v>43830</v>
      </c>
      <c r="F25" s="20">
        <f t="shared" si="4"/>
        <v>262</v>
      </c>
      <c r="G25" s="15">
        <v>4000</v>
      </c>
      <c r="H25" s="5" t="s">
        <v>27</v>
      </c>
      <c r="I25" s="10">
        <v>3</v>
      </c>
      <c r="J25" s="10" t="s">
        <v>77</v>
      </c>
      <c r="K25" s="10">
        <v>90</v>
      </c>
      <c r="P25" s="5" t="str">
        <f t="shared" si="1"/>
        <v>CH</v>
      </c>
      <c r="Q25" s="10">
        <f t="shared" si="2"/>
        <v>0</v>
      </c>
    </row>
    <row r="26" spans="1:17" x14ac:dyDescent="0.2">
      <c r="A26" s="4" t="s">
        <v>116</v>
      </c>
      <c r="B26" s="17" t="str">
        <f t="shared" si="0"/>
        <v>143 Preferential tariff quota</v>
      </c>
      <c r="C26" s="17" t="str">
        <f t="shared" si="3"/>
        <v>FCFS</v>
      </c>
      <c r="D26" s="14">
        <v>43568</v>
      </c>
      <c r="E26" s="14">
        <v>43830</v>
      </c>
      <c r="F26" s="20">
        <f t="shared" si="4"/>
        <v>262</v>
      </c>
      <c r="G26" s="15">
        <v>190</v>
      </c>
      <c r="H26" s="5" t="s">
        <v>27</v>
      </c>
      <c r="I26" s="10">
        <v>3</v>
      </c>
      <c r="J26" s="10" t="s">
        <v>77</v>
      </c>
      <c r="K26" s="10">
        <v>90</v>
      </c>
      <c r="P26" s="5" t="str">
        <f t="shared" si="1"/>
        <v>CH</v>
      </c>
      <c r="Q26" s="10">
        <f t="shared" si="2"/>
        <v>0</v>
      </c>
    </row>
    <row r="27" spans="1:17" x14ac:dyDescent="0.2">
      <c r="A27" s="4" t="s">
        <v>117</v>
      </c>
      <c r="B27" s="17" t="str">
        <f t="shared" si="0"/>
        <v>143 Preferential tariff quota</v>
      </c>
      <c r="C27" s="17" t="str">
        <f t="shared" si="3"/>
        <v>FCFS</v>
      </c>
      <c r="D27" s="14">
        <v>43568</v>
      </c>
      <c r="E27" s="14">
        <v>43830</v>
      </c>
      <c r="F27" s="20">
        <f t="shared" si="4"/>
        <v>262</v>
      </c>
      <c r="G27" s="15">
        <v>116000</v>
      </c>
      <c r="H27" s="5" t="s">
        <v>27</v>
      </c>
      <c r="I27" s="10">
        <v>3</v>
      </c>
      <c r="J27" s="10" t="s">
        <v>77</v>
      </c>
      <c r="K27" s="10">
        <v>90</v>
      </c>
      <c r="P27" s="5" t="str">
        <f t="shared" si="1"/>
        <v>CH</v>
      </c>
      <c r="Q27" s="10">
        <f t="shared" si="2"/>
        <v>0</v>
      </c>
    </row>
    <row r="28" spans="1:17" x14ac:dyDescent="0.2">
      <c r="A28" s="4" t="s">
        <v>118</v>
      </c>
      <c r="B28" s="17" t="str">
        <f t="shared" si="0"/>
        <v>143 Preferential tariff quota</v>
      </c>
      <c r="C28" s="17" t="str">
        <f t="shared" si="3"/>
        <v>FCFS</v>
      </c>
      <c r="D28" s="14">
        <v>43568</v>
      </c>
      <c r="E28" s="14">
        <v>43830</v>
      </c>
      <c r="F28" s="20">
        <f t="shared" si="4"/>
        <v>262</v>
      </c>
      <c r="G28" s="15">
        <v>19000</v>
      </c>
      <c r="H28" s="5" t="s">
        <v>27</v>
      </c>
      <c r="I28" s="10">
        <v>3</v>
      </c>
      <c r="J28" s="10" t="s">
        <v>77</v>
      </c>
      <c r="K28" s="10">
        <v>90</v>
      </c>
      <c r="P28" s="5" t="str">
        <f t="shared" si="1"/>
        <v>CH</v>
      </c>
      <c r="Q28" s="10">
        <f t="shared" si="2"/>
        <v>0</v>
      </c>
    </row>
    <row r="29" spans="1:17" x14ac:dyDescent="0.2">
      <c r="A29" s="4" t="s">
        <v>119</v>
      </c>
      <c r="B29" s="17" t="str">
        <f t="shared" si="0"/>
        <v>143 Preferential tariff quota</v>
      </c>
      <c r="C29" s="17" t="str">
        <f t="shared" si="3"/>
        <v>FCFS</v>
      </c>
      <c r="D29" s="14">
        <v>43568</v>
      </c>
      <c r="E29" s="14">
        <v>43830</v>
      </c>
      <c r="F29" s="20">
        <f t="shared" si="4"/>
        <v>262</v>
      </c>
      <c r="G29" s="15">
        <v>8000</v>
      </c>
      <c r="H29" s="5" t="s">
        <v>27</v>
      </c>
      <c r="I29" s="10">
        <v>3</v>
      </c>
      <c r="J29" s="10" t="s">
        <v>77</v>
      </c>
      <c r="K29" s="10">
        <v>90</v>
      </c>
      <c r="P29" s="5" t="str">
        <f t="shared" si="1"/>
        <v>CH</v>
      </c>
      <c r="Q29" s="10">
        <f t="shared" si="2"/>
        <v>0</v>
      </c>
    </row>
    <row r="30" spans="1:17" x14ac:dyDescent="0.2">
      <c r="A30" s="4" t="s">
        <v>120</v>
      </c>
      <c r="B30" s="17" t="str">
        <f t="shared" si="0"/>
        <v>143 Preferential tariff quota</v>
      </c>
      <c r="C30" s="17" t="str">
        <f t="shared" si="3"/>
        <v>FCFS</v>
      </c>
      <c r="D30" s="14">
        <v>43568</v>
      </c>
      <c r="E30" s="14">
        <v>43830</v>
      </c>
      <c r="F30" s="20">
        <f t="shared" si="4"/>
        <v>262</v>
      </c>
      <c r="G30" s="15">
        <v>12000</v>
      </c>
      <c r="H30" s="5" t="s">
        <v>27</v>
      </c>
      <c r="I30" s="10">
        <v>3</v>
      </c>
      <c r="J30" s="10" t="s">
        <v>77</v>
      </c>
      <c r="K30" s="10">
        <v>90</v>
      </c>
      <c r="P30" s="5" t="str">
        <f t="shared" si="1"/>
        <v>CH</v>
      </c>
      <c r="Q30" s="10">
        <f t="shared" si="2"/>
        <v>0</v>
      </c>
    </row>
    <row r="31" spans="1:17" x14ac:dyDescent="0.2">
      <c r="A31" s="4" t="s">
        <v>151</v>
      </c>
      <c r="B31" s="17" t="str">
        <f t="shared" si="0"/>
        <v>143 Preferential tariff quota</v>
      </c>
      <c r="C31" s="17" t="str">
        <f t="shared" si="3"/>
        <v>Licensed</v>
      </c>
      <c r="D31" s="14">
        <v>43568</v>
      </c>
      <c r="E31" s="14">
        <v>43830</v>
      </c>
      <c r="F31" s="20">
        <f t="shared" si="4"/>
        <v>262</v>
      </c>
      <c r="G31" s="15">
        <v>107000</v>
      </c>
      <c r="H31" s="5" t="s">
        <v>27</v>
      </c>
      <c r="I31" s="10">
        <v>3</v>
      </c>
      <c r="J31" s="10" t="s">
        <v>77</v>
      </c>
      <c r="K31" s="10">
        <v>90</v>
      </c>
      <c r="P31" s="5" t="str">
        <f t="shared" si="1"/>
        <v>CH</v>
      </c>
      <c r="Q31" s="10">
        <f t="shared" si="2"/>
        <v>0</v>
      </c>
    </row>
    <row r="32" spans="1:17" x14ac:dyDescent="0.2">
      <c r="A32" s="4" t="s">
        <v>152</v>
      </c>
      <c r="B32" s="17" t="str">
        <f t="shared" si="0"/>
        <v>143 Preferential tariff quota</v>
      </c>
      <c r="C32" s="17" t="str">
        <f t="shared" si="3"/>
        <v>Licensed</v>
      </c>
      <c r="D32" s="14">
        <v>43568</v>
      </c>
      <c r="E32" s="14">
        <v>43830</v>
      </c>
      <c r="F32" s="20">
        <f t="shared" si="4"/>
        <v>262</v>
      </c>
      <c r="G32" s="15">
        <v>64000</v>
      </c>
      <c r="H32" s="5" t="s">
        <v>27</v>
      </c>
      <c r="I32" s="10">
        <v>3</v>
      </c>
      <c r="J32" s="10" t="s">
        <v>77</v>
      </c>
      <c r="K32" s="10">
        <v>90</v>
      </c>
      <c r="P32" s="5" t="str">
        <f t="shared" si="1"/>
        <v>CH</v>
      </c>
      <c r="Q32" s="10">
        <f t="shared" si="2"/>
        <v>0</v>
      </c>
    </row>
    <row r="33" spans="1:17" x14ac:dyDescent="0.2">
      <c r="A33" s="4" t="s">
        <v>153</v>
      </c>
      <c r="B33" s="17" t="str">
        <f t="shared" si="0"/>
        <v>143 Preferential tariff quota</v>
      </c>
      <c r="C33" s="17" t="str">
        <f t="shared" si="3"/>
        <v>Licensed</v>
      </c>
      <c r="D33" s="14">
        <v>43568</v>
      </c>
      <c r="E33" s="14">
        <v>43830</v>
      </c>
      <c r="F33" s="20">
        <f t="shared" si="4"/>
        <v>262</v>
      </c>
      <c r="G33" s="15">
        <v>247</v>
      </c>
      <c r="H33" s="5" t="s">
        <v>47</v>
      </c>
      <c r="I33" s="10">
        <v>3</v>
      </c>
      <c r="J33" s="10" t="s">
        <v>77</v>
      </c>
      <c r="K33" s="10">
        <v>90</v>
      </c>
      <c r="P33" s="5" t="str">
        <f t="shared" si="1"/>
        <v>CH</v>
      </c>
      <c r="Q33" s="10">
        <f t="shared" si="2"/>
        <v>0</v>
      </c>
    </row>
    <row r="34" spans="1:17" x14ac:dyDescent="0.2">
      <c r="A34" s="22" t="s">
        <v>92</v>
      </c>
      <c r="B34" s="17" t="str">
        <f t="shared" si="0"/>
        <v>143 Preferential tariff quota</v>
      </c>
      <c r="C34" s="17" t="str">
        <f t="shared" si="3"/>
        <v>FCFS</v>
      </c>
      <c r="D34" s="14">
        <v>43831</v>
      </c>
      <c r="E34" s="14">
        <v>44196</v>
      </c>
      <c r="F34" s="20">
        <f t="shared" si="4"/>
        <v>365</v>
      </c>
      <c r="G34" s="15">
        <v>102000</v>
      </c>
      <c r="H34" s="5" t="s">
        <v>27</v>
      </c>
      <c r="I34" s="10">
        <v>3</v>
      </c>
      <c r="J34" s="10" t="s">
        <v>77</v>
      </c>
      <c r="K34" s="10">
        <v>90</v>
      </c>
      <c r="P34" s="5" t="str">
        <f t="shared" si="1"/>
        <v>CH</v>
      </c>
      <c r="Q34" s="10">
        <f t="shared" si="2"/>
        <v>0</v>
      </c>
    </row>
    <row r="35" spans="1:17" x14ac:dyDescent="0.2">
      <c r="A35" s="4" t="s">
        <v>93</v>
      </c>
      <c r="B35" s="17" t="str">
        <f t="shared" si="0"/>
        <v>143 Preferential tariff quota</v>
      </c>
      <c r="C35" s="17" t="str">
        <f t="shared" si="3"/>
        <v>FCFS</v>
      </c>
      <c r="D35" s="14">
        <v>43831</v>
      </c>
      <c r="E35" s="14">
        <v>44196</v>
      </c>
      <c r="F35" s="20">
        <f t="shared" si="4"/>
        <v>365</v>
      </c>
      <c r="G35" s="15">
        <v>215000</v>
      </c>
      <c r="H35" s="5" t="s">
        <v>27</v>
      </c>
      <c r="I35" s="10">
        <v>3</v>
      </c>
      <c r="J35" s="10" t="s">
        <v>77</v>
      </c>
      <c r="K35" s="10">
        <v>90</v>
      </c>
      <c r="P35" s="5" t="str">
        <f t="shared" si="1"/>
        <v>CH</v>
      </c>
      <c r="Q35" s="10">
        <f t="shared" si="2"/>
        <v>0</v>
      </c>
    </row>
    <row r="36" spans="1:17" x14ac:dyDescent="0.2">
      <c r="A36" s="4" t="s">
        <v>94</v>
      </c>
      <c r="B36" s="17" t="str">
        <f t="shared" si="0"/>
        <v>143 Preferential tariff quota</v>
      </c>
      <c r="C36" s="17" t="str">
        <f t="shared" si="3"/>
        <v>FCFS</v>
      </c>
      <c r="D36" s="14">
        <v>43831</v>
      </c>
      <c r="E36" s="14">
        <v>44196</v>
      </c>
      <c r="F36" s="20">
        <f t="shared" si="4"/>
        <v>365</v>
      </c>
      <c r="G36" s="15">
        <v>54000</v>
      </c>
      <c r="H36" s="5" t="s">
        <v>27</v>
      </c>
      <c r="I36" s="10">
        <v>3</v>
      </c>
      <c r="J36" s="10" t="s">
        <v>77</v>
      </c>
      <c r="K36" s="10">
        <v>90</v>
      </c>
      <c r="P36" s="5" t="str">
        <f t="shared" si="1"/>
        <v>CH</v>
      </c>
      <c r="Q36" s="10">
        <f t="shared" si="2"/>
        <v>0</v>
      </c>
    </row>
    <row r="37" spans="1:17" x14ac:dyDescent="0.2">
      <c r="A37" s="4" t="s">
        <v>95</v>
      </c>
      <c r="B37" s="17" t="str">
        <f t="shared" si="0"/>
        <v>143 Preferential tariff quota</v>
      </c>
      <c r="C37" s="17" t="str">
        <f t="shared" si="3"/>
        <v>FCFS</v>
      </c>
      <c r="D37" s="14">
        <v>43831</v>
      </c>
      <c r="E37" s="14">
        <v>44196</v>
      </c>
      <c r="F37" s="20">
        <f t="shared" si="4"/>
        <v>365</v>
      </c>
      <c r="G37" s="15">
        <v>269000</v>
      </c>
      <c r="H37" s="5" t="s">
        <v>27</v>
      </c>
      <c r="I37" s="10">
        <v>3</v>
      </c>
      <c r="J37" s="10" t="s">
        <v>77</v>
      </c>
      <c r="K37" s="10">
        <v>90</v>
      </c>
      <c r="P37" s="5" t="str">
        <f t="shared" si="1"/>
        <v>CH</v>
      </c>
      <c r="Q37" s="10">
        <f t="shared" si="2"/>
        <v>0</v>
      </c>
    </row>
    <row r="38" spans="1:17" x14ac:dyDescent="0.2">
      <c r="A38" s="4" t="s">
        <v>96</v>
      </c>
      <c r="B38" s="17" t="str">
        <f t="shared" si="0"/>
        <v>143 Preferential tariff quota</v>
      </c>
      <c r="C38" s="17" t="str">
        <f t="shared" si="3"/>
        <v>FCFS</v>
      </c>
      <c r="D38" s="14">
        <v>43831</v>
      </c>
      <c r="E38" s="14">
        <v>44196</v>
      </c>
      <c r="F38" s="20">
        <f t="shared" si="4"/>
        <v>365</v>
      </c>
      <c r="G38" s="15">
        <v>295000</v>
      </c>
      <c r="H38" s="5" t="s">
        <v>27</v>
      </c>
      <c r="I38" s="10">
        <v>3</v>
      </c>
      <c r="J38" s="10" t="s">
        <v>77</v>
      </c>
      <c r="K38" s="10">
        <v>90</v>
      </c>
      <c r="P38" s="5" t="str">
        <f t="shared" si="1"/>
        <v>CH</v>
      </c>
      <c r="Q38" s="10">
        <f t="shared" si="2"/>
        <v>0</v>
      </c>
    </row>
    <row r="39" spans="1:17" x14ac:dyDescent="0.2">
      <c r="A39" s="4" t="s">
        <v>97</v>
      </c>
      <c r="B39" s="17" t="str">
        <f t="shared" si="0"/>
        <v>143 Preferential tariff quota</v>
      </c>
      <c r="C39" s="17" t="str">
        <f t="shared" si="3"/>
        <v>FCFS</v>
      </c>
      <c r="D39" s="14">
        <v>43831</v>
      </c>
      <c r="E39" s="14">
        <v>44196</v>
      </c>
      <c r="F39" s="20">
        <f t="shared" si="4"/>
        <v>365</v>
      </c>
      <c r="G39" s="15">
        <v>161000</v>
      </c>
      <c r="H39" s="5" t="s">
        <v>27</v>
      </c>
      <c r="I39" s="10">
        <v>3</v>
      </c>
      <c r="J39" s="10" t="s">
        <v>77</v>
      </c>
      <c r="K39" s="10">
        <v>90</v>
      </c>
      <c r="P39" s="5" t="str">
        <f t="shared" si="1"/>
        <v>CH</v>
      </c>
      <c r="Q39" s="10">
        <f t="shared" si="2"/>
        <v>0</v>
      </c>
    </row>
    <row r="40" spans="1:17" x14ac:dyDescent="0.2">
      <c r="A40" s="4" t="s">
        <v>98</v>
      </c>
      <c r="B40" s="17" t="str">
        <f t="shared" si="0"/>
        <v>143 Preferential tariff quota</v>
      </c>
      <c r="C40" s="17" t="str">
        <f t="shared" si="3"/>
        <v>FCFS</v>
      </c>
      <c r="D40" s="14">
        <v>43831</v>
      </c>
      <c r="E40" s="14">
        <v>44196</v>
      </c>
      <c r="F40" s="20">
        <f t="shared" si="4"/>
        <v>365</v>
      </c>
      <c r="G40" s="15">
        <v>269000</v>
      </c>
      <c r="H40" s="5" t="s">
        <v>27</v>
      </c>
      <c r="I40" s="10">
        <v>3</v>
      </c>
      <c r="J40" s="10" t="s">
        <v>77</v>
      </c>
      <c r="K40" s="10">
        <v>90</v>
      </c>
      <c r="P40" s="5" t="str">
        <f t="shared" si="1"/>
        <v>CH</v>
      </c>
      <c r="Q40" s="10">
        <f t="shared" si="2"/>
        <v>0</v>
      </c>
    </row>
    <row r="41" spans="1:17" x14ac:dyDescent="0.2">
      <c r="A41" s="4" t="s">
        <v>99</v>
      </c>
      <c r="B41" s="17" t="str">
        <f t="shared" si="0"/>
        <v>143 Preferential tariff quota</v>
      </c>
      <c r="C41" s="17" t="str">
        <f t="shared" si="3"/>
        <v>FCFS</v>
      </c>
      <c r="D41" s="14">
        <v>43831</v>
      </c>
      <c r="E41" s="14">
        <v>44196</v>
      </c>
      <c r="F41" s="20">
        <f t="shared" si="4"/>
        <v>365</v>
      </c>
      <c r="G41" s="15">
        <v>161000</v>
      </c>
      <c r="H41" s="5" t="s">
        <v>27</v>
      </c>
      <c r="I41" s="10">
        <v>3</v>
      </c>
      <c r="J41" s="10" t="s">
        <v>77</v>
      </c>
      <c r="K41" s="10">
        <v>90</v>
      </c>
      <c r="P41" s="5" t="str">
        <f t="shared" si="1"/>
        <v>CH</v>
      </c>
      <c r="Q41" s="10">
        <f t="shared" si="2"/>
        <v>0</v>
      </c>
    </row>
    <row r="42" spans="1:17" x14ac:dyDescent="0.2">
      <c r="A42" s="4" t="s">
        <v>100</v>
      </c>
      <c r="B42" s="17" t="str">
        <f t="shared" si="0"/>
        <v>143 Preferential tariff quota</v>
      </c>
      <c r="C42" s="17" t="str">
        <f t="shared" si="3"/>
        <v>FCFS</v>
      </c>
      <c r="D42" s="14">
        <v>43831</v>
      </c>
      <c r="E42" s="14">
        <v>44196</v>
      </c>
      <c r="F42" s="20">
        <f t="shared" si="4"/>
        <v>365</v>
      </c>
      <c r="G42" s="15">
        <v>54000</v>
      </c>
      <c r="H42" s="5" t="s">
        <v>27</v>
      </c>
      <c r="I42" s="10">
        <v>3</v>
      </c>
      <c r="J42" s="10" t="s">
        <v>77</v>
      </c>
      <c r="K42" s="10">
        <v>90</v>
      </c>
      <c r="P42" s="5" t="str">
        <f t="shared" si="1"/>
        <v>CH</v>
      </c>
      <c r="Q42" s="10">
        <f t="shared" si="2"/>
        <v>0</v>
      </c>
    </row>
    <row r="43" spans="1:17" x14ac:dyDescent="0.2">
      <c r="A43" s="4" t="s">
        <v>101</v>
      </c>
      <c r="B43" s="17" t="str">
        <f t="shared" si="0"/>
        <v>143 Preferential tariff quota</v>
      </c>
      <c r="C43" s="17" t="str">
        <f t="shared" si="3"/>
        <v>FCFS</v>
      </c>
      <c r="D43" s="14">
        <v>43831</v>
      </c>
      <c r="E43" s="14">
        <v>44196</v>
      </c>
      <c r="F43" s="20">
        <f t="shared" si="4"/>
        <v>365</v>
      </c>
      <c r="G43" s="15">
        <v>54000</v>
      </c>
      <c r="H43" s="5" t="s">
        <v>27</v>
      </c>
      <c r="I43" s="10">
        <v>3</v>
      </c>
      <c r="J43" s="10" t="s">
        <v>77</v>
      </c>
      <c r="K43" s="10">
        <v>90</v>
      </c>
      <c r="P43" s="5" t="str">
        <f t="shared" si="1"/>
        <v>CH</v>
      </c>
      <c r="Q43" s="10">
        <f t="shared" si="2"/>
        <v>0</v>
      </c>
    </row>
    <row r="44" spans="1:17" x14ac:dyDescent="0.2">
      <c r="A44" s="4" t="s">
        <v>102</v>
      </c>
      <c r="B44" s="17" t="str">
        <f t="shared" si="0"/>
        <v>143 Preferential tariff quota</v>
      </c>
      <c r="C44" s="17" t="str">
        <f t="shared" si="3"/>
        <v>FCFS</v>
      </c>
      <c r="D44" s="14">
        <v>43831</v>
      </c>
      <c r="E44" s="14">
        <v>44196</v>
      </c>
      <c r="F44" s="20">
        <f t="shared" si="4"/>
        <v>365</v>
      </c>
      <c r="G44" s="15">
        <v>27000</v>
      </c>
      <c r="H44" s="5" t="s">
        <v>27</v>
      </c>
      <c r="I44" s="10">
        <v>3</v>
      </c>
      <c r="J44" s="10" t="s">
        <v>77</v>
      </c>
      <c r="K44" s="10">
        <v>90</v>
      </c>
      <c r="P44" s="5" t="str">
        <f t="shared" si="1"/>
        <v>CH</v>
      </c>
      <c r="Q44" s="10">
        <f t="shared" si="2"/>
        <v>0</v>
      </c>
    </row>
    <row r="45" spans="1:17" x14ac:dyDescent="0.2">
      <c r="A45" s="4" t="s">
        <v>103</v>
      </c>
      <c r="B45" s="17" t="str">
        <f t="shared" si="0"/>
        <v>143 Preferential tariff quota</v>
      </c>
      <c r="C45" s="17" t="str">
        <f t="shared" si="3"/>
        <v>FCFS</v>
      </c>
      <c r="D45" s="14">
        <v>43831</v>
      </c>
      <c r="E45" s="14">
        <v>44196</v>
      </c>
      <c r="F45" s="20">
        <f t="shared" si="4"/>
        <v>365</v>
      </c>
      <c r="G45" s="15">
        <v>27000</v>
      </c>
      <c r="H45" s="5" t="s">
        <v>27</v>
      </c>
      <c r="I45" s="10">
        <v>3</v>
      </c>
      <c r="J45" s="10" t="s">
        <v>77</v>
      </c>
      <c r="K45" s="10">
        <v>90</v>
      </c>
      <c r="P45" s="5" t="str">
        <f t="shared" si="1"/>
        <v>CH</v>
      </c>
      <c r="Q45" s="10">
        <f t="shared" si="2"/>
        <v>0</v>
      </c>
    </row>
    <row r="46" spans="1:17" x14ac:dyDescent="0.2">
      <c r="A46" s="4" t="s">
        <v>104</v>
      </c>
      <c r="B46" s="17" t="str">
        <f t="shared" si="0"/>
        <v>143 Preferential tariff quota</v>
      </c>
      <c r="C46" s="17" t="str">
        <f t="shared" si="3"/>
        <v>FCFS</v>
      </c>
      <c r="D46" s="14">
        <v>43831</v>
      </c>
      <c r="E46" s="14">
        <v>44196</v>
      </c>
      <c r="F46" s="20">
        <f t="shared" si="4"/>
        <v>365</v>
      </c>
      <c r="G46" s="15">
        <v>54000</v>
      </c>
      <c r="H46" s="5" t="s">
        <v>27</v>
      </c>
      <c r="I46" s="10">
        <v>3</v>
      </c>
      <c r="J46" s="10" t="s">
        <v>77</v>
      </c>
      <c r="K46" s="10">
        <v>90</v>
      </c>
      <c r="P46" s="5" t="str">
        <f t="shared" si="1"/>
        <v>CH</v>
      </c>
      <c r="Q46" s="10">
        <f t="shared" si="2"/>
        <v>0</v>
      </c>
    </row>
    <row r="47" spans="1:17" x14ac:dyDescent="0.2">
      <c r="A47" s="4" t="s">
        <v>105</v>
      </c>
      <c r="B47" s="17" t="str">
        <f t="shared" si="0"/>
        <v>143 Preferential tariff quota</v>
      </c>
      <c r="C47" s="17" t="str">
        <f t="shared" si="3"/>
        <v>FCFS</v>
      </c>
      <c r="D47" s="14">
        <v>43831</v>
      </c>
      <c r="E47" s="14">
        <v>44196</v>
      </c>
      <c r="F47" s="20">
        <f t="shared" si="4"/>
        <v>365</v>
      </c>
      <c r="G47" s="15">
        <v>54000</v>
      </c>
      <c r="H47" s="5" t="s">
        <v>27</v>
      </c>
      <c r="I47" s="10">
        <v>3</v>
      </c>
      <c r="J47" s="10" t="s">
        <v>77</v>
      </c>
      <c r="K47" s="10">
        <v>90</v>
      </c>
      <c r="P47" s="5" t="str">
        <f t="shared" si="1"/>
        <v>CH</v>
      </c>
      <c r="Q47" s="10">
        <f t="shared" si="2"/>
        <v>0</v>
      </c>
    </row>
    <row r="48" spans="1:17" x14ac:dyDescent="0.2">
      <c r="A48" s="4" t="s">
        <v>106</v>
      </c>
      <c r="B48" s="17" t="str">
        <f t="shared" si="0"/>
        <v>143 Preferential tariff quota</v>
      </c>
      <c r="C48" s="17" t="str">
        <f t="shared" si="3"/>
        <v>FCFS</v>
      </c>
      <c r="D48" s="14">
        <v>43831</v>
      </c>
      <c r="E48" s="14">
        <v>44196</v>
      </c>
      <c r="F48" s="20">
        <f t="shared" si="4"/>
        <v>365</v>
      </c>
      <c r="G48" s="15">
        <v>54000</v>
      </c>
      <c r="H48" s="5" t="s">
        <v>27</v>
      </c>
      <c r="I48" s="10">
        <v>3</v>
      </c>
      <c r="J48" s="10" t="s">
        <v>77</v>
      </c>
      <c r="K48" s="10">
        <v>90</v>
      </c>
      <c r="P48" s="5" t="str">
        <f t="shared" si="1"/>
        <v>CH</v>
      </c>
      <c r="Q48" s="10">
        <f t="shared" si="2"/>
        <v>0</v>
      </c>
    </row>
    <row r="49" spans="1:17" x14ac:dyDescent="0.2">
      <c r="A49" s="4" t="s">
        <v>107</v>
      </c>
      <c r="B49" s="17" t="str">
        <f t="shared" si="0"/>
        <v>143 Preferential tariff quota</v>
      </c>
      <c r="C49" s="17" t="str">
        <f t="shared" si="3"/>
        <v>FCFS</v>
      </c>
      <c r="D49" s="14">
        <v>43831</v>
      </c>
      <c r="E49" s="14">
        <v>44196</v>
      </c>
      <c r="F49" s="20">
        <f t="shared" si="4"/>
        <v>365</v>
      </c>
      <c r="G49" s="15">
        <v>54000</v>
      </c>
      <c r="H49" s="5" t="s">
        <v>27</v>
      </c>
      <c r="I49" s="10">
        <v>3</v>
      </c>
      <c r="J49" s="10" t="s">
        <v>77</v>
      </c>
      <c r="K49" s="10">
        <v>90</v>
      </c>
      <c r="P49" s="5" t="str">
        <f t="shared" si="1"/>
        <v>CH</v>
      </c>
      <c r="Q49" s="10">
        <f t="shared" si="2"/>
        <v>0</v>
      </c>
    </row>
    <row r="50" spans="1:17" x14ac:dyDescent="0.2">
      <c r="A50" s="4" t="s">
        <v>108</v>
      </c>
      <c r="B50" s="17" t="str">
        <f t="shared" si="0"/>
        <v>143 Preferential tariff quota</v>
      </c>
      <c r="C50" s="17" t="str">
        <f t="shared" si="3"/>
        <v>FCFS</v>
      </c>
      <c r="D50" s="14">
        <v>43831</v>
      </c>
      <c r="E50" s="14">
        <v>44196</v>
      </c>
      <c r="F50" s="20">
        <f t="shared" si="4"/>
        <v>365</v>
      </c>
      <c r="G50" s="15">
        <v>54000</v>
      </c>
      <c r="H50" s="5" t="s">
        <v>27</v>
      </c>
      <c r="I50" s="10">
        <v>3</v>
      </c>
      <c r="J50" s="10" t="s">
        <v>77</v>
      </c>
      <c r="K50" s="10">
        <v>90</v>
      </c>
      <c r="P50" s="5" t="str">
        <f t="shared" si="1"/>
        <v>CH</v>
      </c>
      <c r="Q50" s="10">
        <f t="shared" si="2"/>
        <v>0</v>
      </c>
    </row>
    <row r="51" spans="1:17" x14ac:dyDescent="0.2">
      <c r="A51" s="4" t="s">
        <v>109</v>
      </c>
      <c r="B51" s="17" t="str">
        <f t="shared" si="0"/>
        <v>143 Preferential tariff quota</v>
      </c>
      <c r="C51" s="17" t="str">
        <f t="shared" si="3"/>
        <v>FCFS</v>
      </c>
      <c r="D51" s="14">
        <v>43831</v>
      </c>
      <c r="E51" s="14">
        <v>44196</v>
      </c>
      <c r="F51" s="20">
        <f t="shared" si="4"/>
        <v>365</v>
      </c>
      <c r="G51" s="15">
        <v>161000</v>
      </c>
      <c r="H51" s="5" t="s">
        <v>27</v>
      </c>
      <c r="I51" s="10">
        <v>3</v>
      </c>
      <c r="J51" s="10" t="s">
        <v>77</v>
      </c>
      <c r="K51" s="10">
        <v>90</v>
      </c>
      <c r="P51" s="5" t="str">
        <f t="shared" si="1"/>
        <v>CH</v>
      </c>
      <c r="Q51" s="10">
        <f t="shared" si="2"/>
        <v>0</v>
      </c>
    </row>
    <row r="52" spans="1:17" x14ac:dyDescent="0.2">
      <c r="A52" s="4" t="s">
        <v>110</v>
      </c>
      <c r="B52" s="17" t="str">
        <f t="shared" si="0"/>
        <v>143 Preferential tariff quota</v>
      </c>
      <c r="C52" s="17" t="str">
        <f t="shared" si="3"/>
        <v>FCFS</v>
      </c>
      <c r="D52" s="14">
        <v>43831</v>
      </c>
      <c r="E52" s="14">
        <v>44196</v>
      </c>
      <c r="F52" s="20">
        <f t="shared" si="4"/>
        <v>365</v>
      </c>
      <c r="G52" s="15">
        <v>161000</v>
      </c>
      <c r="H52" s="5" t="s">
        <v>27</v>
      </c>
      <c r="I52" s="10">
        <v>3</v>
      </c>
      <c r="J52" s="10" t="s">
        <v>77</v>
      </c>
      <c r="K52" s="10">
        <v>90</v>
      </c>
      <c r="P52" s="5" t="str">
        <f t="shared" si="1"/>
        <v>CH</v>
      </c>
      <c r="Q52" s="10">
        <f t="shared" si="2"/>
        <v>0</v>
      </c>
    </row>
    <row r="53" spans="1:17" x14ac:dyDescent="0.2">
      <c r="A53" s="4" t="s">
        <v>111</v>
      </c>
      <c r="B53" s="17" t="str">
        <f t="shared" si="0"/>
        <v>143 Preferential tariff quota</v>
      </c>
      <c r="C53" s="17" t="str">
        <f t="shared" si="3"/>
        <v>FCFS</v>
      </c>
      <c r="D53" s="14">
        <v>43831</v>
      </c>
      <c r="E53" s="14">
        <v>44196</v>
      </c>
      <c r="F53" s="20">
        <f t="shared" si="4"/>
        <v>365</v>
      </c>
      <c r="G53" s="15">
        <v>27000</v>
      </c>
      <c r="H53" s="5" t="s">
        <v>27</v>
      </c>
      <c r="I53" s="10">
        <v>3</v>
      </c>
      <c r="J53" s="10" t="s">
        <v>77</v>
      </c>
      <c r="K53" s="10">
        <v>90</v>
      </c>
      <c r="P53" s="5" t="str">
        <f t="shared" si="1"/>
        <v>CH</v>
      </c>
      <c r="Q53" s="10">
        <f t="shared" si="2"/>
        <v>0</v>
      </c>
    </row>
    <row r="54" spans="1:17" x14ac:dyDescent="0.2">
      <c r="A54" s="4" t="s">
        <v>112</v>
      </c>
      <c r="B54" s="17" t="str">
        <f t="shared" si="0"/>
        <v>143 Preferential tariff quota</v>
      </c>
      <c r="C54" s="17" t="str">
        <f t="shared" si="3"/>
        <v>FCFS</v>
      </c>
      <c r="D54" s="14">
        <v>43831</v>
      </c>
      <c r="E54" s="14">
        <v>44196</v>
      </c>
      <c r="F54" s="20">
        <f t="shared" si="4"/>
        <v>365</v>
      </c>
      <c r="G54" s="15">
        <v>81000</v>
      </c>
      <c r="H54" s="5" t="s">
        <v>27</v>
      </c>
      <c r="I54" s="10">
        <v>3</v>
      </c>
      <c r="J54" s="10" t="s">
        <v>77</v>
      </c>
      <c r="K54" s="10">
        <v>90</v>
      </c>
      <c r="P54" s="5" t="str">
        <f t="shared" si="1"/>
        <v>CH</v>
      </c>
      <c r="Q54" s="10">
        <f t="shared" si="2"/>
        <v>0</v>
      </c>
    </row>
    <row r="55" spans="1:17" x14ac:dyDescent="0.2">
      <c r="A55" s="4" t="s">
        <v>113</v>
      </c>
      <c r="B55" s="17" t="str">
        <f t="shared" si="0"/>
        <v>143 Preferential tariff quota</v>
      </c>
      <c r="C55" s="17" t="str">
        <f t="shared" si="3"/>
        <v>FCFS</v>
      </c>
      <c r="D55" s="14">
        <v>43831</v>
      </c>
      <c r="E55" s="14">
        <v>44196</v>
      </c>
      <c r="F55" s="20">
        <f t="shared" si="4"/>
        <v>365</v>
      </c>
      <c r="G55" s="15">
        <v>54000</v>
      </c>
      <c r="H55" s="5" t="s">
        <v>27</v>
      </c>
      <c r="I55" s="10">
        <v>3</v>
      </c>
      <c r="J55" s="10" t="s">
        <v>77</v>
      </c>
      <c r="K55" s="10">
        <v>90</v>
      </c>
      <c r="P55" s="5" t="str">
        <f t="shared" si="1"/>
        <v>CH</v>
      </c>
      <c r="Q55" s="10">
        <f t="shared" si="2"/>
        <v>0</v>
      </c>
    </row>
    <row r="56" spans="1:17" x14ac:dyDescent="0.2">
      <c r="A56" s="4" t="s">
        <v>114</v>
      </c>
      <c r="B56" s="17" t="str">
        <f t="shared" si="0"/>
        <v>143 Preferential tariff quota</v>
      </c>
      <c r="C56" s="17" t="str">
        <f t="shared" si="3"/>
        <v>FCFS</v>
      </c>
      <c r="D56" s="14">
        <v>43831</v>
      </c>
      <c r="E56" s="14">
        <v>44196</v>
      </c>
      <c r="F56" s="20">
        <f t="shared" si="4"/>
        <v>365</v>
      </c>
      <c r="G56" s="15">
        <v>5000</v>
      </c>
      <c r="H56" s="5" t="s">
        <v>27</v>
      </c>
      <c r="I56" s="10">
        <v>3</v>
      </c>
      <c r="J56" s="10" t="s">
        <v>77</v>
      </c>
      <c r="K56" s="10">
        <v>90</v>
      </c>
      <c r="P56" s="5" t="str">
        <f t="shared" si="1"/>
        <v>CH</v>
      </c>
      <c r="Q56" s="10">
        <f t="shared" si="2"/>
        <v>0</v>
      </c>
    </row>
    <row r="57" spans="1:17" x14ac:dyDescent="0.2">
      <c r="A57" s="4" t="s">
        <v>115</v>
      </c>
      <c r="B57" s="17" t="str">
        <f t="shared" si="0"/>
        <v>143 Preferential tariff quota</v>
      </c>
      <c r="C57" s="17" t="str">
        <f t="shared" si="3"/>
        <v>FCFS</v>
      </c>
      <c r="D57" s="14">
        <v>43831</v>
      </c>
      <c r="E57" s="14">
        <v>44196</v>
      </c>
      <c r="F57" s="20">
        <f t="shared" si="4"/>
        <v>365</v>
      </c>
      <c r="G57" s="15">
        <v>5000</v>
      </c>
      <c r="H57" s="5" t="s">
        <v>27</v>
      </c>
      <c r="I57" s="10">
        <v>3</v>
      </c>
      <c r="J57" s="10" t="s">
        <v>77</v>
      </c>
      <c r="K57" s="10">
        <v>90</v>
      </c>
      <c r="P57" s="5" t="str">
        <f t="shared" si="1"/>
        <v>CH</v>
      </c>
      <c r="Q57" s="10">
        <f t="shared" si="2"/>
        <v>0</v>
      </c>
    </row>
    <row r="58" spans="1:17" x14ac:dyDescent="0.2">
      <c r="A58" s="4" t="s">
        <v>116</v>
      </c>
      <c r="B58" s="17" t="str">
        <f t="shared" si="0"/>
        <v>143 Preferential tariff quota</v>
      </c>
      <c r="C58" s="17" t="str">
        <f t="shared" si="3"/>
        <v>FCFS</v>
      </c>
      <c r="D58" s="14">
        <v>43831</v>
      </c>
      <c r="E58" s="14">
        <v>44196</v>
      </c>
      <c r="F58" s="20">
        <f t="shared" si="4"/>
        <v>365</v>
      </c>
      <c r="G58" s="15">
        <v>270</v>
      </c>
      <c r="H58" s="5" t="s">
        <v>27</v>
      </c>
      <c r="I58" s="10">
        <v>3</v>
      </c>
      <c r="J58" s="10" t="s">
        <v>77</v>
      </c>
      <c r="K58" s="10">
        <v>90</v>
      </c>
      <c r="P58" s="5" t="str">
        <f t="shared" si="1"/>
        <v>CH</v>
      </c>
      <c r="Q58" s="10">
        <f t="shared" si="2"/>
        <v>0</v>
      </c>
    </row>
    <row r="59" spans="1:17" x14ac:dyDescent="0.2">
      <c r="A59" s="4" t="s">
        <v>117</v>
      </c>
      <c r="B59" s="17" t="str">
        <f t="shared" si="0"/>
        <v>143 Preferential tariff quota</v>
      </c>
      <c r="C59" s="17" t="str">
        <f t="shared" si="3"/>
        <v>FCFS</v>
      </c>
      <c r="D59" s="14">
        <v>43831</v>
      </c>
      <c r="E59" s="14">
        <v>44196</v>
      </c>
      <c r="F59" s="20">
        <f t="shared" si="4"/>
        <v>365</v>
      </c>
      <c r="G59" s="15">
        <v>161000</v>
      </c>
      <c r="H59" s="5" t="s">
        <v>27</v>
      </c>
      <c r="I59" s="10">
        <v>3</v>
      </c>
      <c r="J59" s="10" t="s">
        <v>77</v>
      </c>
      <c r="K59" s="10">
        <v>90</v>
      </c>
      <c r="P59" s="5" t="str">
        <f t="shared" si="1"/>
        <v>CH</v>
      </c>
      <c r="Q59" s="10">
        <f t="shared" si="2"/>
        <v>0</v>
      </c>
    </row>
    <row r="60" spans="1:17" x14ac:dyDescent="0.2">
      <c r="A60" s="4" t="s">
        <v>118</v>
      </c>
      <c r="B60" s="17" t="str">
        <f t="shared" si="0"/>
        <v>143 Preferential tariff quota</v>
      </c>
      <c r="C60" s="17" t="str">
        <f t="shared" si="3"/>
        <v>FCFS</v>
      </c>
      <c r="D60" s="14">
        <v>43831</v>
      </c>
      <c r="E60" s="14">
        <v>44196</v>
      </c>
      <c r="F60" s="20">
        <f t="shared" si="4"/>
        <v>365</v>
      </c>
      <c r="G60" s="15">
        <v>27000</v>
      </c>
      <c r="H60" s="5" t="s">
        <v>27</v>
      </c>
      <c r="I60" s="10">
        <v>3</v>
      </c>
      <c r="J60" s="10" t="s">
        <v>77</v>
      </c>
      <c r="K60" s="10">
        <v>90</v>
      </c>
      <c r="P60" s="5" t="str">
        <f t="shared" si="1"/>
        <v>CH</v>
      </c>
      <c r="Q60" s="10">
        <f t="shared" si="2"/>
        <v>0</v>
      </c>
    </row>
    <row r="61" spans="1:17" x14ac:dyDescent="0.2">
      <c r="A61" s="4" t="s">
        <v>119</v>
      </c>
      <c r="B61" s="17" t="str">
        <f t="shared" si="0"/>
        <v>143 Preferential tariff quota</v>
      </c>
      <c r="C61" s="17" t="str">
        <f t="shared" si="3"/>
        <v>FCFS</v>
      </c>
      <c r="D61" s="14">
        <v>43831</v>
      </c>
      <c r="E61" s="14">
        <v>44196</v>
      </c>
      <c r="F61" s="20">
        <f t="shared" si="4"/>
        <v>365</v>
      </c>
      <c r="G61" s="15">
        <v>11000</v>
      </c>
      <c r="H61" s="5" t="s">
        <v>27</v>
      </c>
      <c r="I61" s="10">
        <v>3</v>
      </c>
      <c r="J61" s="10" t="s">
        <v>77</v>
      </c>
      <c r="K61" s="10">
        <v>90</v>
      </c>
      <c r="P61" s="5" t="str">
        <f t="shared" si="1"/>
        <v>CH</v>
      </c>
      <c r="Q61" s="10">
        <f t="shared" si="2"/>
        <v>0</v>
      </c>
    </row>
    <row r="62" spans="1:17" x14ac:dyDescent="0.2">
      <c r="A62" s="4" t="s">
        <v>120</v>
      </c>
      <c r="B62" s="17" t="str">
        <f t="shared" si="0"/>
        <v>143 Preferential tariff quota</v>
      </c>
      <c r="C62" s="17" t="str">
        <f t="shared" si="3"/>
        <v>FCFS</v>
      </c>
      <c r="D62" s="14">
        <v>43831</v>
      </c>
      <c r="E62" s="14">
        <v>44196</v>
      </c>
      <c r="F62" s="20">
        <f t="shared" si="4"/>
        <v>365</v>
      </c>
      <c r="G62" s="15">
        <v>16000</v>
      </c>
      <c r="H62" s="5" t="s">
        <v>27</v>
      </c>
      <c r="I62" s="10">
        <v>3</v>
      </c>
      <c r="J62" s="10" t="s">
        <v>77</v>
      </c>
      <c r="K62" s="10">
        <v>90</v>
      </c>
      <c r="P62" s="5" t="str">
        <f t="shared" si="1"/>
        <v>CH</v>
      </c>
      <c r="Q62" s="10">
        <f t="shared" si="2"/>
        <v>0</v>
      </c>
    </row>
    <row r="63" spans="1:17" x14ac:dyDescent="0.2">
      <c r="A63" s="4" t="s">
        <v>151</v>
      </c>
      <c r="B63" s="17" t="str">
        <f t="shared" si="0"/>
        <v>143 Preferential tariff quota</v>
      </c>
      <c r="C63" s="17" t="str">
        <f t="shared" si="3"/>
        <v>Licensed</v>
      </c>
      <c r="D63" s="14">
        <v>43568</v>
      </c>
      <c r="E63" s="14">
        <v>43830</v>
      </c>
      <c r="F63" s="20">
        <f t="shared" ref="F63:F65" si="5">DATEDIF(D63, E63, "d")</f>
        <v>262</v>
      </c>
      <c r="G63" s="15">
        <v>107000</v>
      </c>
      <c r="H63" s="5" t="s">
        <v>27</v>
      </c>
      <c r="I63" s="10">
        <v>3</v>
      </c>
      <c r="J63" s="10" t="s">
        <v>77</v>
      </c>
      <c r="K63" s="10">
        <v>90</v>
      </c>
      <c r="P63" s="5" t="str">
        <f t="shared" si="1"/>
        <v>CH</v>
      </c>
      <c r="Q63" s="10">
        <f t="shared" si="2"/>
        <v>0</v>
      </c>
    </row>
    <row r="64" spans="1:17" x14ac:dyDescent="0.2">
      <c r="A64" s="4" t="s">
        <v>152</v>
      </c>
      <c r="B64" s="17" t="str">
        <f t="shared" si="0"/>
        <v>143 Preferential tariff quota</v>
      </c>
      <c r="C64" s="17" t="str">
        <f t="shared" si="3"/>
        <v>Licensed</v>
      </c>
      <c r="D64" s="14">
        <v>43568</v>
      </c>
      <c r="E64" s="14">
        <v>43830</v>
      </c>
      <c r="F64" s="20">
        <f t="shared" si="5"/>
        <v>262</v>
      </c>
      <c r="G64" s="15">
        <v>64000</v>
      </c>
      <c r="H64" s="5" t="s">
        <v>27</v>
      </c>
      <c r="I64" s="10">
        <v>3</v>
      </c>
      <c r="J64" s="10" t="s">
        <v>77</v>
      </c>
      <c r="K64" s="10">
        <v>90</v>
      </c>
      <c r="P64" s="5" t="str">
        <f t="shared" si="1"/>
        <v>CH</v>
      </c>
      <c r="Q64" s="10">
        <f t="shared" si="2"/>
        <v>0</v>
      </c>
    </row>
    <row r="65" spans="1:17" x14ac:dyDescent="0.2">
      <c r="A65" s="4" t="s">
        <v>153</v>
      </c>
      <c r="B65" s="17" t="str">
        <f t="shared" si="0"/>
        <v>143 Preferential tariff quota</v>
      </c>
      <c r="C65" s="17" t="str">
        <f t="shared" si="3"/>
        <v>Licensed</v>
      </c>
      <c r="D65" s="14">
        <v>43568</v>
      </c>
      <c r="E65" s="14">
        <v>43830</v>
      </c>
      <c r="F65" s="20">
        <f t="shared" si="5"/>
        <v>262</v>
      </c>
      <c r="G65" s="15">
        <v>247</v>
      </c>
      <c r="H65" s="5" t="s">
        <v>47</v>
      </c>
      <c r="I65" s="10">
        <v>3</v>
      </c>
      <c r="J65" s="10" t="s">
        <v>77</v>
      </c>
      <c r="K65" s="10">
        <v>90</v>
      </c>
      <c r="P65" s="5" t="str">
        <f t="shared" si="1"/>
        <v>CH</v>
      </c>
      <c r="Q65" s="10">
        <f t="shared" si="2"/>
        <v>0</v>
      </c>
    </row>
    <row r="66" spans="1:17" x14ac:dyDescent="0.2">
      <c r="A66" s="22" t="s">
        <v>156</v>
      </c>
      <c r="B66" s="17" t="str">
        <f t="shared" si="0"/>
        <v>143 Preferential tariff quota</v>
      </c>
      <c r="C66" s="17" t="str">
        <f t="shared" si="3"/>
        <v>FCFS</v>
      </c>
      <c r="D66" s="14">
        <v>43568</v>
      </c>
      <c r="E66" s="14">
        <v>43830</v>
      </c>
      <c r="F66" s="20">
        <f t="shared" si="4"/>
        <v>262</v>
      </c>
      <c r="G66" s="15">
        <v>1092000</v>
      </c>
      <c r="H66" s="5" t="s">
        <v>27</v>
      </c>
      <c r="I66" s="10">
        <v>3</v>
      </c>
      <c r="J66" s="10" t="s">
        <v>192</v>
      </c>
      <c r="K66" s="10">
        <v>90</v>
      </c>
      <c r="P66" s="5" t="str">
        <f t="shared" ref="P66:P129" si="6">VLOOKUP(A66, quota_order_numbers2, 6, FALSE)</f>
        <v>CL</v>
      </c>
      <c r="Q66" s="10" t="str">
        <f t="shared" ref="Q66:Q129" si="7">VLOOKUP(A66, quota_order_numbers2, 2, FALSE)</f>
        <v>Y</v>
      </c>
    </row>
    <row r="67" spans="1:17" x14ac:dyDescent="0.2">
      <c r="A67" s="4" t="s">
        <v>160</v>
      </c>
      <c r="B67" s="17" t="str">
        <f t="shared" si="0"/>
        <v>143 Preferential tariff quota</v>
      </c>
      <c r="C67" s="17" t="str">
        <f t="shared" ref="C67:C132" si="8">IF(LEFT(A67,3)="094","Licensed","FCFS")</f>
        <v>FCFS</v>
      </c>
      <c r="D67" s="14">
        <v>43568</v>
      </c>
      <c r="E67" s="14">
        <v>43830</v>
      </c>
      <c r="F67" s="20">
        <f t="shared" si="4"/>
        <v>262</v>
      </c>
      <c r="G67" s="15">
        <v>624000</v>
      </c>
      <c r="H67" s="5" t="s">
        <v>27</v>
      </c>
      <c r="I67" s="10">
        <v>3</v>
      </c>
      <c r="J67" s="10" t="s">
        <v>192</v>
      </c>
      <c r="K67" s="10">
        <v>90</v>
      </c>
      <c r="P67" s="5" t="str">
        <f t="shared" si="6"/>
        <v>CL</v>
      </c>
      <c r="Q67" s="10" t="str">
        <f t="shared" si="7"/>
        <v>Y</v>
      </c>
    </row>
    <row r="68" spans="1:17" x14ac:dyDescent="0.2">
      <c r="A68" s="4" t="s">
        <v>162</v>
      </c>
      <c r="B68" s="17" t="str">
        <f t="shared" si="0"/>
        <v>143 Preferential tariff quota</v>
      </c>
      <c r="C68" s="17" t="str">
        <f t="shared" si="8"/>
        <v>FCFS</v>
      </c>
      <c r="D68" s="14">
        <v>43568</v>
      </c>
      <c r="E68" s="14">
        <v>43830</v>
      </c>
      <c r="F68" s="20">
        <f t="shared" si="4"/>
        <v>262</v>
      </c>
      <c r="G68" s="15">
        <v>7549000</v>
      </c>
      <c r="H68" s="5" t="s">
        <v>27</v>
      </c>
      <c r="I68" s="10">
        <v>3</v>
      </c>
      <c r="J68" s="10" t="s">
        <v>192</v>
      </c>
      <c r="K68" s="10">
        <v>90</v>
      </c>
      <c r="P68" s="5" t="str">
        <f t="shared" si="6"/>
        <v>CL</v>
      </c>
      <c r="Q68" s="10" t="str">
        <f t="shared" si="7"/>
        <v>Y</v>
      </c>
    </row>
    <row r="69" spans="1:17" x14ac:dyDescent="0.2">
      <c r="A69" s="4" t="s">
        <v>164</v>
      </c>
      <c r="B69" s="17" t="str">
        <f t="shared" si="0"/>
        <v>143 Preferential tariff quota</v>
      </c>
      <c r="C69" s="17" t="str">
        <f t="shared" si="8"/>
        <v>FCFS</v>
      </c>
      <c r="D69" s="14">
        <v>43568</v>
      </c>
      <c r="E69" s="14">
        <v>43830</v>
      </c>
      <c r="F69" s="20">
        <f t="shared" si="4"/>
        <v>262</v>
      </c>
      <c r="G69" s="15">
        <v>324000</v>
      </c>
      <c r="H69" s="5" t="s">
        <v>27</v>
      </c>
      <c r="I69" s="10">
        <v>3</v>
      </c>
      <c r="J69" s="10" t="s">
        <v>192</v>
      </c>
      <c r="K69" s="10">
        <v>90</v>
      </c>
      <c r="P69" s="5" t="str">
        <f t="shared" si="6"/>
        <v>CL</v>
      </c>
      <c r="Q69" s="10" t="str">
        <f t="shared" si="7"/>
        <v>Y</v>
      </c>
    </row>
    <row r="70" spans="1:17" x14ac:dyDescent="0.2">
      <c r="A70" s="4" t="s">
        <v>166</v>
      </c>
      <c r="B70" s="17" t="str">
        <f t="shared" si="0"/>
        <v>143 Preferential tariff quota</v>
      </c>
      <c r="C70" s="17" t="str">
        <f t="shared" si="8"/>
        <v>FCFS</v>
      </c>
      <c r="D70" s="14">
        <v>43568</v>
      </c>
      <c r="E70" s="14">
        <v>43830</v>
      </c>
      <c r="F70" s="20">
        <f t="shared" si="4"/>
        <v>262</v>
      </c>
      <c r="G70" s="15">
        <v>115000</v>
      </c>
      <c r="H70" s="5" t="s">
        <v>27</v>
      </c>
      <c r="I70" s="10">
        <v>3</v>
      </c>
      <c r="J70" s="10" t="s">
        <v>192</v>
      </c>
      <c r="K70" s="10">
        <v>90</v>
      </c>
      <c r="P70" s="5" t="str">
        <f t="shared" si="6"/>
        <v>CL</v>
      </c>
      <c r="Q70" s="10" t="str">
        <f t="shared" si="7"/>
        <v>Y</v>
      </c>
    </row>
    <row r="71" spans="1:17" x14ac:dyDescent="0.2">
      <c r="A71" s="4" t="s">
        <v>168</v>
      </c>
      <c r="B71" s="17" t="str">
        <f t="shared" si="0"/>
        <v>143 Preferential tariff quota</v>
      </c>
      <c r="C71" s="17" t="str">
        <f t="shared" si="8"/>
        <v>FCFS</v>
      </c>
      <c r="D71" s="14">
        <v>43568</v>
      </c>
      <c r="E71" s="14">
        <v>43830</v>
      </c>
      <c r="F71" s="20">
        <f t="shared" si="4"/>
        <v>262</v>
      </c>
      <c r="G71" s="15">
        <v>216000</v>
      </c>
      <c r="H71" s="5" t="s">
        <v>27</v>
      </c>
      <c r="I71" s="10">
        <v>3</v>
      </c>
      <c r="J71" s="10" t="s">
        <v>192</v>
      </c>
      <c r="K71" s="10">
        <v>90</v>
      </c>
      <c r="P71" s="5" t="str">
        <f t="shared" si="6"/>
        <v>CL</v>
      </c>
      <c r="Q71" s="10" t="str">
        <f t="shared" si="7"/>
        <v>Y</v>
      </c>
    </row>
    <row r="72" spans="1:17" x14ac:dyDescent="0.2">
      <c r="A72" s="4" t="s">
        <v>170</v>
      </c>
      <c r="B72" s="17" t="str">
        <f t="shared" ref="B72:B137" si="9">VLOOKUP(A72, quota_order_numbers2, 5, FALSE)</f>
        <v>143 Preferential tariff quota</v>
      </c>
      <c r="C72" s="17" t="str">
        <f t="shared" si="8"/>
        <v>FCFS</v>
      </c>
      <c r="D72" s="14">
        <v>43568</v>
      </c>
      <c r="E72" s="14">
        <v>43830</v>
      </c>
      <c r="F72" s="20">
        <f t="shared" si="4"/>
        <v>262</v>
      </c>
      <c r="G72" s="15">
        <v>108000</v>
      </c>
      <c r="H72" s="5" t="s">
        <v>27</v>
      </c>
      <c r="I72" s="10">
        <v>3</v>
      </c>
      <c r="J72" s="10" t="s">
        <v>192</v>
      </c>
      <c r="K72" s="10">
        <v>90</v>
      </c>
      <c r="P72" s="5" t="str">
        <f t="shared" si="6"/>
        <v>CL</v>
      </c>
      <c r="Q72" s="10" t="str">
        <f t="shared" si="7"/>
        <v>Y</v>
      </c>
    </row>
    <row r="73" spans="1:17" x14ac:dyDescent="0.2">
      <c r="A73" s="4" t="s">
        <v>172</v>
      </c>
      <c r="B73" s="17" t="str">
        <f t="shared" si="9"/>
        <v>143 Preferential tariff quota</v>
      </c>
      <c r="C73" s="17" t="str">
        <f t="shared" si="8"/>
        <v>FCFS</v>
      </c>
      <c r="D73" s="14">
        <v>43568</v>
      </c>
      <c r="E73" s="14">
        <v>43830</v>
      </c>
      <c r="F73" s="20">
        <f t="shared" ref="F73:F138" si="10">DATEDIF(D73, E73, "d")</f>
        <v>262</v>
      </c>
      <c r="G73" s="15">
        <v>216000</v>
      </c>
      <c r="H73" s="5" t="s">
        <v>27</v>
      </c>
      <c r="I73" s="10">
        <v>3</v>
      </c>
      <c r="J73" s="10" t="s">
        <v>192</v>
      </c>
      <c r="K73" s="10">
        <v>90</v>
      </c>
      <c r="P73" s="5" t="str">
        <f t="shared" si="6"/>
        <v>CL</v>
      </c>
      <c r="Q73" s="10" t="str">
        <f t="shared" si="7"/>
        <v>Y</v>
      </c>
    </row>
    <row r="74" spans="1:17" x14ac:dyDescent="0.2">
      <c r="A74" s="4" t="s">
        <v>174</v>
      </c>
      <c r="B74" s="17" t="str">
        <f t="shared" si="9"/>
        <v>143 Preferential tariff quota</v>
      </c>
      <c r="C74" s="17" t="str">
        <f t="shared" si="8"/>
        <v>FCFS</v>
      </c>
      <c r="D74" s="14">
        <v>43568</v>
      </c>
      <c r="E74" s="14">
        <v>43830</v>
      </c>
      <c r="F74" s="20">
        <f t="shared" si="10"/>
        <v>262</v>
      </c>
      <c r="G74" s="15">
        <v>48000</v>
      </c>
      <c r="H74" s="5" t="s">
        <v>27</v>
      </c>
      <c r="I74" s="10">
        <v>3</v>
      </c>
      <c r="J74" s="10" t="s">
        <v>192</v>
      </c>
      <c r="K74" s="10">
        <v>90</v>
      </c>
      <c r="P74" s="5" t="str">
        <f t="shared" si="6"/>
        <v>CL</v>
      </c>
      <c r="Q74" s="10" t="str">
        <f t="shared" si="7"/>
        <v>Y</v>
      </c>
    </row>
    <row r="75" spans="1:17" x14ac:dyDescent="0.2">
      <c r="A75" s="4" t="s">
        <v>176</v>
      </c>
      <c r="B75" s="17" t="str">
        <f t="shared" si="9"/>
        <v>143 Preferential tariff quota</v>
      </c>
      <c r="C75" s="17" t="str">
        <f t="shared" si="8"/>
        <v>FCFS</v>
      </c>
      <c r="D75" s="14">
        <v>43568</v>
      </c>
      <c r="E75" s="14">
        <v>43830</v>
      </c>
      <c r="F75" s="20">
        <f t="shared" si="10"/>
        <v>262</v>
      </c>
      <c r="G75" s="15">
        <v>48000</v>
      </c>
      <c r="H75" s="5" t="s">
        <v>27</v>
      </c>
      <c r="I75" s="10">
        <v>3</v>
      </c>
      <c r="J75" s="10" t="s">
        <v>192</v>
      </c>
      <c r="K75" s="10">
        <v>90</v>
      </c>
      <c r="P75" s="5" t="str">
        <f t="shared" si="6"/>
        <v>CL</v>
      </c>
      <c r="Q75" s="10" t="str">
        <f t="shared" si="7"/>
        <v>Y</v>
      </c>
    </row>
    <row r="76" spans="1:17" x14ac:dyDescent="0.2">
      <c r="A76" s="4" t="s">
        <v>178</v>
      </c>
      <c r="B76" s="17" t="str">
        <f t="shared" si="9"/>
        <v>143 Preferential tariff quota</v>
      </c>
      <c r="C76" s="17" t="str">
        <f t="shared" si="8"/>
        <v>FCFS</v>
      </c>
      <c r="D76" s="14">
        <v>43568</v>
      </c>
      <c r="E76" s="14">
        <v>43830</v>
      </c>
      <c r="F76" s="20">
        <f t="shared" si="10"/>
        <v>262</v>
      </c>
      <c r="G76" s="15">
        <v>60000</v>
      </c>
      <c r="H76" s="5" t="s">
        <v>27</v>
      </c>
      <c r="I76" s="10">
        <v>3</v>
      </c>
      <c r="J76" s="10" t="s">
        <v>192</v>
      </c>
      <c r="K76" s="10">
        <v>90</v>
      </c>
      <c r="P76" s="5" t="str">
        <f t="shared" si="6"/>
        <v>CL</v>
      </c>
      <c r="Q76" s="10" t="str">
        <f t="shared" si="7"/>
        <v>Y</v>
      </c>
    </row>
    <row r="77" spans="1:17" x14ac:dyDescent="0.2">
      <c r="A77" s="4" t="s">
        <v>180</v>
      </c>
      <c r="B77" s="17" t="str">
        <f t="shared" si="9"/>
        <v>143 Preferential tariff quota</v>
      </c>
      <c r="C77" s="17" t="str">
        <f t="shared" si="8"/>
        <v>FCFS</v>
      </c>
      <c r="D77" s="14">
        <v>43568</v>
      </c>
      <c r="E77" s="14">
        <v>43830</v>
      </c>
      <c r="F77" s="20">
        <f t="shared" si="10"/>
        <v>262</v>
      </c>
      <c r="G77" s="15">
        <v>600000</v>
      </c>
      <c r="H77" s="5" t="s">
        <v>27</v>
      </c>
      <c r="I77" s="10">
        <v>3</v>
      </c>
      <c r="J77" s="10" t="s">
        <v>192</v>
      </c>
      <c r="K77" s="10">
        <v>90</v>
      </c>
      <c r="P77" s="5" t="str">
        <f t="shared" si="6"/>
        <v>CL</v>
      </c>
      <c r="Q77" s="10" t="str">
        <f t="shared" si="7"/>
        <v>Y</v>
      </c>
    </row>
    <row r="78" spans="1:17" x14ac:dyDescent="0.2">
      <c r="A78" s="4" t="s">
        <v>182</v>
      </c>
      <c r="B78" s="17" t="str">
        <f t="shared" si="9"/>
        <v>143 Preferential tariff quota</v>
      </c>
      <c r="C78" s="17" t="str">
        <f t="shared" si="8"/>
        <v>FCFS</v>
      </c>
      <c r="D78" s="14">
        <v>43568</v>
      </c>
      <c r="E78" s="14">
        <v>43830</v>
      </c>
      <c r="F78" s="20">
        <f t="shared" si="10"/>
        <v>262</v>
      </c>
      <c r="G78" s="15">
        <v>5000</v>
      </c>
      <c r="H78" s="5" t="s">
        <v>27</v>
      </c>
      <c r="I78" s="10">
        <v>3</v>
      </c>
      <c r="J78" s="10" t="s">
        <v>192</v>
      </c>
      <c r="K78" s="10">
        <v>90</v>
      </c>
      <c r="P78" s="5" t="str">
        <f t="shared" si="6"/>
        <v>CL</v>
      </c>
      <c r="Q78" s="10" t="str">
        <f t="shared" si="7"/>
        <v>Y</v>
      </c>
    </row>
    <row r="79" spans="1:17" x14ac:dyDescent="0.2">
      <c r="A79" s="4" t="s">
        <v>184</v>
      </c>
      <c r="B79" s="17" t="str">
        <f t="shared" si="9"/>
        <v>143 Preferential tariff quota</v>
      </c>
      <c r="C79" s="17" t="str">
        <f t="shared" si="8"/>
        <v>FCFS</v>
      </c>
      <c r="D79" s="14">
        <v>43568</v>
      </c>
      <c r="E79" s="14">
        <v>43830</v>
      </c>
      <c r="F79" s="20">
        <f t="shared" si="10"/>
        <v>262</v>
      </c>
      <c r="G79" s="15">
        <v>18000</v>
      </c>
      <c r="H79" s="5" t="s">
        <v>27</v>
      </c>
      <c r="I79" s="10">
        <v>3</v>
      </c>
      <c r="J79" s="10" t="s">
        <v>192</v>
      </c>
      <c r="K79" s="10">
        <v>90</v>
      </c>
      <c r="P79" s="5" t="str">
        <f t="shared" si="6"/>
        <v>CL</v>
      </c>
      <c r="Q79" s="10" t="str">
        <f t="shared" si="7"/>
        <v>Y</v>
      </c>
    </row>
    <row r="80" spans="1:17" x14ac:dyDescent="0.2">
      <c r="A80" s="4" t="s">
        <v>186</v>
      </c>
      <c r="B80" s="17" t="str">
        <f t="shared" si="9"/>
        <v>143 Preferential tariff quota</v>
      </c>
      <c r="C80" s="17" t="str">
        <f t="shared" si="8"/>
        <v>FCFS</v>
      </c>
      <c r="D80" s="14">
        <v>43568</v>
      </c>
      <c r="E80" s="14">
        <v>43830</v>
      </c>
      <c r="F80" s="20">
        <f t="shared" si="10"/>
        <v>262</v>
      </c>
      <c r="G80" s="15">
        <v>120000</v>
      </c>
      <c r="H80" s="5" t="s">
        <v>27</v>
      </c>
      <c r="I80" s="10">
        <v>3</v>
      </c>
      <c r="J80" s="10" t="s">
        <v>192</v>
      </c>
      <c r="K80" s="10">
        <v>90</v>
      </c>
      <c r="P80" s="5" t="str">
        <f t="shared" si="6"/>
        <v>CL</v>
      </c>
      <c r="Q80" s="10" t="str">
        <f t="shared" si="7"/>
        <v>Y</v>
      </c>
    </row>
    <row r="81" spans="1:17" x14ac:dyDescent="0.2">
      <c r="A81" s="4" t="s">
        <v>188</v>
      </c>
      <c r="B81" s="17" t="str">
        <f t="shared" si="9"/>
        <v>143 Preferential tariff quota</v>
      </c>
      <c r="C81" s="17" t="str">
        <f t="shared" si="8"/>
        <v>FCFS</v>
      </c>
      <c r="D81" s="14">
        <v>43568</v>
      </c>
      <c r="E81" s="14">
        <v>43830</v>
      </c>
      <c r="F81" s="20">
        <f t="shared" si="10"/>
        <v>262</v>
      </c>
      <c r="G81" s="15">
        <v>624000</v>
      </c>
      <c r="H81" s="5" t="s">
        <v>27</v>
      </c>
      <c r="I81" s="10">
        <v>3</v>
      </c>
      <c r="J81" s="10" t="s">
        <v>192</v>
      </c>
      <c r="K81" s="10">
        <v>90</v>
      </c>
      <c r="P81" s="5" t="str">
        <f t="shared" si="6"/>
        <v>CL</v>
      </c>
      <c r="Q81" s="10" t="str">
        <f t="shared" si="7"/>
        <v>Y</v>
      </c>
    </row>
    <row r="82" spans="1:17" x14ac:dyDescent="0.2">
      <c r="A82" s="4" t="s">
        <v>190</v>
      </c>
      <c r="B82" s="17" t="str">
        <f t="shared" si="9"/>
        <v>143 Preferential tariff quota</v>
      </c>
      <c r="C82" s="17" t="str">
        <f t="shared" si="8"/>
        <v>FCFS</v>
      </c>
      <c r="D82" s="14">
        <v>43568</v>
      </c>
      <c r="E82" s="14">
        <v>43830</v>
      </c>
      <c r="F82" s="20">
        <f t="shared" si="10"/>
        <v>262</v>
      </c>
      <c r="G82" s="15">
        <v>624000</v>
      </c>
      <c r="H82" s="5" t="s">
        <v>27</v>
      </c>
      <c r="I82" s="10">
        <v>3</v>
      </c>
      <c r="J82" s="10" t="s">
        <v>192</v>
      </c>
      <c r="K82" s="10">
        <v>90</v>
      </c>
      <c r="P82" s="5" t="str">
        <f t="shared" si="6"/>
        <v>CL</v>
      </c>
      <c r="Q82" s="10" t="str">
        <f t="shared" si="7"/>
        <v>Y</v>
      </c>
    </row>
    <row r="83" spans="1:17" x14ac:dyDescent="0.2">
      <c r="A83" s="4" t="s">
        <v>218</v>
      </c>
      <c r="B83" s="17" t="str">
        <f t="shared" si="9"/>
        <v>143 Preferential tariff quota</v>
      </c>
      <c r="C83" s="17" t="str">
        <f t="shared" si="8"/>
        <v>Licensed</v>
      </c>
      <c r="D83" s="14">
        <v>43568</v>
      </c>
      <c r="E83" s="14">
        <v>43676</v>
      </c>
      <c r="F83" s="20">
        <f t="shared" si="10"/>
        <v>108</v>
      </c>
      <c r="G83" s="15">
        <v>92000</v>
      </c>
      <c r="H83" s="5" t="s">
        <v>27</v>
      </c>
      <c r="I83" s="10">
        <v>3</v>
      </c>
      <c r="J83" s="10" t="s">
        <v>192</v>
      </c>
      <c r="K83" s="10">
        <v>90</v>
      </c>
      <c r="P83" s="5" t="str">
        <f t="shared" si="6"/>
        <v>CL</v>
      </c>
      <c r="Q83" s="10" t="str">
        <f t="shared" si="7"/>
        <v>Y</v>
      </c>
    </row>
    <row r="84" spans="1:17" x14ac:dyDescent="0.2">
      <c r="A84" s="22" t="s">
        <v>156</v>
      </c>
      <c r="B84" s="17" t="str">
        <f t="shared" si="9"/>
        <v>143 Preferential tariff quota</v>
      </c>
      <c r="C84" s="17" t="str">
        <f t="shared" si="8"/>
        <v>FCFS</v>
      </c>
      <c r="D84" s="14">
        <v>43831</v>
      </c>
      <c r="E84" s="14">
        <v>44196</v>
      </c>
      <c r="F84" s="20">
        <f t="shared" si="10"/>
        <v>365</v>
      </c>
      <c r="G84" s="15">
        <v>1574000</v>
      </c>
      <c r="H84" s="5" t="s">
        <v>27</v>
      </c>
      <c r="I84" s="10">
        <v>3</v>
      </c>
      <c r="J84" s="10" t="s">
        <v>192</v>
      </c>
      <c r="K84" s="10">
        <v>90</v>
      </c>
      <c r="P84" s="5" t="str">
        <f t="shared" si="6"/>
        <v>CL</v>
      </c>
      <c r="Q84" s="10" t="str">
        <f t="shared" si="7"/>
        <v>Y</v>
      </c>
    </row>
    <row r="85" spans="1:17" x14ac:dyDescent="0.2">
      <c r="A85" s="4" t="s">
        <v>160</v>
      </c>
      <c r="B85" s="17" t="str">
        <f t="shared" si="9"/>
        <v>143 Preferential tariff quota</v>
      </c>
      <c r="C85" s="17" t="str">
        <f t="shared" si="8"/>
        <v>FCFS</v>
      </c>
      <c r="D85" s="14">
        <v>43831</v>
      </c>
      <c r="E85" s="14">
        <v>44196</v>
      </c>
      <c r="F85" s="20">
        <f t="shared" si="10"/>
        <v>365</v>
      </c>
      <c r="G85" s="15">
        <v>899000</v>
      </c>
      <c r="H85" s="5" t="s">
        <v>27</v>
      </c>
      <c r="I85" s="10">
        <v>3</v>
      </c>
      <c r="J85" s="10" t="s">
        <v>192</v>
      </c>
      <c r="K85" s="10">
        <v>90</v>
      </c>
      <c r="P85" s="5" t="str">
        <f t="shared" si="6"/>
        <v>CL</v>
      </c>
      <c r="Q85" s="10" t="str">
        <f t="shared" si="7"/>
        <v>Y</v>
      </c>
    </row>
    <row r="86" spans="1:17" x14ac:dyDescent="0.2">
      <c r="A86" s="4" t="s">
        <v>162</v>
      </c>
      <c r="B86" s="17" t="str">
        <f t="shared" si="9"/>
        <v>143 Preferential tariff quota</v>
      </c>
      <c r="C86" s="17" t="str">
        <f t="shared" si="8"/>
        <v>FCFS</v>
      </c>
      <c r="D86" s="14">
        <v>43831</v>
      </c>
      <c r="E86" s="14">
        <v>44196</v>
      </c>
      <c r="F86" s="20">
        <f t="shared" si="10"/>
        <v>365</v>
      </c>
      <c r="G86" s="15">
        <v>10880000</v>
      </c>
      <c r="H86" s="5" t="s">
        <v>27</v>
      </c>
      <c r="I86" s="10">
        <v>3</v>
      </c>
      <c r="J86" s="10" t="s">
        <v>192</v>
      </c>
      <c r="K86" s="10">
        <v>90</v>
      </c>
      <c r="P86" s="5" t="str">
        <f t="shared" si="6"/>
        <v>CL</v>
      </c>
      <c r="Q86" s="10" t="str">
        <f t="shared" si="7"/>
        <v>Y</v>
      </c>
    </row>
    <row r="87" spans="1:17" x14ac:dyDescent="0.2">
      <c r="A87" s="4" t="s">
        <v>164</v>
      </c>
      <c r="B87" s="17" t="str">
        <f t="shared" si="9"/>
        <v>143 Preferential tariff quota</v>
      </c>
      <c r="C87" s="17" t="str">
        <f t="shared" si="8"/>
        <v>FCFS</v>
      </c>
      <c r="D87" s="14">
        <v>43831</v>
      </c>
      <c r="E87" s="14">
        <v>44196</v>
      </c>
      <c r="F87" s="20">
        <f t="shared" si="10"/>
        <v>365</v>
      </c>
      <c r="G87" s="15">
        <v>462000</v>
      </c>
      <c r="H87" s="5" t="s">
        <v>27</v>
      </c>
      <c r="I87" s="10">
        <v>3</v>
      </c>
      <c r="J87" s="10" t="s">
        <v>192</v>
      </c>
      <c r="K87" s="10">
        <v>90</v>
      </c>
      <c r="P87" s="5" t="str">
        <f t="shared" si="6"/>
        <v>CL</v>
      </c>
      <c r="Q87" s="10" t="str">
        <f t="shared" si="7"/>
        <v>Y</v>
      </c>
    </row>
    <row r="88" spans="1:17" x14ac:dyDescent="0.2">
      <c r="A88" s="4" t="s">
        <v>166</v>
      </c>
      <c r="B88" s="17" t="str">
        <f t="shared" si="9"/>
        <v>143 Preferential tariff quota</v>
      </c>
      <c r="C88" s="17" t="str">
        <f t="shared" si="8"/>
        <v>FCFS</v>
      </c>
      <c r="D88" s="14">
        <v>43831</v>
      </c>
      <c r="E88" s="14">
        <v>44196</v>
      </c>
      <c r="F88" s="20">
        <f t="shared" si="10"/>
        <v>365</v>
      </c>
      <c r="G88" s="15">
        <v>163000</v>
      </c>
      <c r="H88" s="5" t="s">
        <v>27</v>
      </c>
      <c r="I88" s="10">
        <v>3</v>
      </c>
      <c r="J88" s="10" t="s">
        <v>192</v>
      </c>
      <c r="K88" s="10">
        <v>90</v>
      </c>
      <c r="P88" s="5" t="str">
        <f t="shared" si="6"/>
        <v>CL</v>
      </c>
      <c r="Q88" s="10" t="str">
        <f t="shared" si="7"/>
        <v>Y</v>
      </c>
    </row>
    <row r="89" spans="1:17" x14ac:dyDescent="0.2">
      <c r="A89" s="4" t="s">
        <v>168</v>
      </c>
      <c r="B89" s="17" t="str">
        <f t="shared" si="9"/>
        <v>143 Preferential tariff quota</v>
      </c>
      <c r="C89" s="17" t="str">
        <f t="shared" si="8"/>
        <v>FCFS</v>
      </c>
      <c r="D89" s="14">
        <v>43831</v>
      </c>
      <c r="E89" s="14">
        <v>44196</v>
      </c>
      <c r="F89" s="20">
        <f t="shared" si="10"/>
        <v>365</v>
      </c>
      <c r="G89" s="15">
        <v>308000</v>
      </c>
      <c r="H89" s="5" t="s">
        <v>27</v>
      </c>
      <c r="I89" s="10">
        <v>3</v>
      </c>
      <c r="J89" s="10" t="s">
        <v>192</v>
      </c>
      <c r="K89" s="10">
        <v>90</v>
      </c>
      <c r="P89" s="5" t="str">
        <f t="shared" si="6"/>
        <v>CL</v>
      </c>
      <c r="Q89" s="10" t="str">
        <f t="shared" si="7"/>
        <v>Y</v>
      </c>
    </row>
    <row r="90" spans="1:17" x14ac:dyDescent="0.2">
      <c r="A90" s="4" t="s">
        <v>170</v>
      </c>
      <c r="B90" s="17" t="str">
        <f t="shared" si="9"/>
        <v>143 Preferential tariff quota</v>
      </c>
      <c r="C90" s="17" t="str">
        <f t="shared" si="8"/>
        <v>FCFS</v>
      </c>
      <c r="D90" s="14">
        <v>43831</v>
      </c>
      <c r="E90" s="14">
        <v>44196</v>
      </c>
      <c r="F90" s="20">
        <f t="shared" si="10"/>
        <v>365</v>
      </c>
      <c r="G90" s="15">
        <v>154000</v>
      </c>
      <c r="H90" s="5" t="s">
        <v>27</v>
      </c>
      <c r="I90" s="10">
        <v>3</v>
      </c>
      <c r="J90" s="10" t="s">
        <v>192</v>
      </c>
      <c r="K90" s="10">
        <v>90</v>
      </c>
      <c r="P90" s="5" t="str">
        <f t="shared" si="6"/>
        <v>CL</v>
      </c>
      <c r="Q90" s="10" t="str">
        <f t="shared" si="7"/>
        <v>Y</v>
      </c>
    </row>
    <row r="91" spans="1:17" x14ac:dyDescent="0.2">
      <c r="A91" s="4" t="s">
        <v>172</v>
      </c>
      <c r="B91" s="17" t="str">
        <f t="shared" si="9"/>
        <v>143 Preferential tariff quota</v>
      </c>
      <c r="C91" s="17" t="str">
        <f t="shared" si="8"/>
        <v>FCFS</v>
      </c>
      <c r="D91" s="14">
        <v>43831</v>
      </c>
      <c r="E91" s="14">
        <v>44196</v>
      </c>
      <c r="F91" s="20">
        <f t="shared" si="10"/>
        <v>365</v>
      </c>
      <c r="G91" s="15">
        <v>308000</v>
      </c>
      <c r="H91" s="5" t="s">
        <v>27</v>
      </c>
      <c r="I91" s="10">
        <v>3</v>
      </c>
      <c r="J91" s="10" t="s">
        <v>192</v>
      </c>
      <c r="K91" s="10">
        <v>90</v>
      </c>
      <c r="P91" s="5" t="str">
        <f t="shared" si="6"/>
        <v>CL</v>
      </c>
      <c r="Q91" s="10" t="str">
        <f t="shared" si="7"/>
        <v>Y</v>
      </c>
    </row>
    <row r="92" spans="1:17" x14ac:dyDescent="0.2">
      <c r="A92" s="4" t="s">
        <v>174</v>
      </c>
      <c r="B92" s="17" t="str">
        <f t="shared" si="9"/>
        <v>143 Preferential tariff quota</v>
      </c>
      <c r="C92" s="17" t="str">
        <f t="shared" si="8"/>
        <v>FCFS</v>
      </c>
      <c r="D92" s="14">
        <v>43831</v>
      </c>
      <c r="E92" s="14">
        <v>44196</v>
      </c>
      <c r="F92" s="20">
        <f t="shared" si="10"/>
        <v>365</v>
      </c>
      <c r="G92" s="15">
        <v>67000</v>
      </c>
      <c r="H92" s="5" t="s">
        <v>27</v>
      </c>
      <c r="I92" s="10">
        <v>3</v>
      </c>
      <c r="J92" s="10" t="s">
        <v>192</v>
      </c>
      <c r="K92" s="10">
        <v>90</v>
      </c>
      <c r="P92" s="5" t="str">
        <f t="shared" si="6"/>
        <v>CL</v>
      </c>
      <c r="Q92" s="10" t="str">
        <f t="shared" si="7"/>
        <v>Y</v>
      </c>
    </row>
    <row r="93" spans="1:17" x14ac:dyDescent="0.2">
      <c r="A93" s="4" t="s">
        <v>176</v>
      </c>
      <c r="B93" s="17" t="str">
        <f t="shared" si="9"/>
        <v>143 Preferential tariff quota</v>
      </c>
      <c r="C93" s="17" t="str">
        <f t="shared" si="8"/>
        <v>FCFS</v>
      </c>
      <c r="D93" s="14">
        <v>43831</v>
      </c>
      <c r="E93" s="14">
        <v>44196</v>
      </c>
      <c r="F93" s="20">
        <f t="shared" si="10"/>
        <v>365</v>
      </c>
      <c r="G93" s="15">
        <v>67000</v>
      </c>
      <c r="H93" s="5" t="s">
        <v>27</v>
      </c>
      <c r="I93" s="10">
        <v>3</v>
      </c>
      <c r="J93" s="10" t="s">
        <v>192</v>
      </c>
      <c r="K93" s="10">
        <v>90</v>
      </c>
      <c r="P93" s="5" t="str">
        <f t="shared" si="6"/>
        <v>CL</v>
      </c>
      <c r="Q93" s="10" t="str">
        <f t="shared" si="7"/>
        <v>Y</v>
      </c>
    </row>
    <row r="94" spans="1:17" x14ac:dyDescent="0.2">
      <c r="A94" s="4" t="s">
        <v>178</v>
      </c>
      <c r="B94" s="17" t="str">
        <f t="shared" si="9"/>
        <v>143 Preferential tariff quota</v>
      </c>
      <c r="C94" s="17" t="str">
        <f t="shared" si="8"/>
        <v>FCFS</v>
      </c>
      <c r="D94" s="14">
        <v>43831</v>
      </c>
      <c r="E94" s="14">
        <v>44196</v>
      </c>
      <c r="F94" s="20">
        <f t="shared" si="10"/>
        <v>365</v>
      </c>
      <c r="G94" s="15">
        <v>83000</v>
      </c>
      <c r="H94" s="5" t="s">
        <v>27</v>
      </c>
      <c r="I94" s="10">
        <v>3</v>
      </c>
      <c r="J94" s="10" t="s">
        <v>192</v>
      </c>
      <c r="K94" s="10">
        <v>90</v>
      </c>
      <c r="P94" s="5" t="str">
        <f t="shared" si="6"/>
        <v>CL</v>
      </c>
      <c r="Q94" s="10" t="str">
        <f t="shared" si="7"/>
        <v>Y</v>
      </c>
    </row>
    <row r="95" spans="1:17" x14ac:dyDescent="0.2">
      <c r="A95" s="4" t="s">
        <v>180</v>
      </c>
      <c r="B95" s="17" t="str">
        <f t="shared" si="9"/>
        <v>143 Preferential tariff quota</v>
      </c>
      <c r="C95" s="17" t="str">
        <f t="shared" si="8"/>
        <v>FCFS</v>
      </c>
      <c r="D95" s="14">
        <v>43831</v>
      </c>
      <c r="E95" s="14">
        <v>44196</v>
      </c>
      <c r="F95" s="20">
        <f t="shared" si="10"/>
        <v>365</v>
      </c>
      <c r="G95" s="15">
        <v>833000</v>
      </c>
      <c r="H95" s="5" t="s">
        <v>27</v>
      </c>
      <c r="I95" s="10">
        <v>3</v>
      </c>
      <c r="J95" s="10" t="s">
        <v>192</v>
      </c>
      <c r="K95" s="10">
        <v>90</v>
      </c>
      <c r="P95" s="5" t="str">
        <f t="shared" si="6"/>
        <v>CL</v>
      </c>
      <c r="Q95" s="10" t="str">
        <f t="shared" si="7"/>
        <v>Y</v>
      </c>
    </row>
    <row r="96" spans="1:17" x14ac:dyDescent="0.2">
      <c r="A96" s="4" t="s">
        <v>182</v>
      </c>
      <c r="B96" s="17" t="str">
        <f t="shared" si="9"/>
        <v>143 Preferential tariff quota</v>
      </c>
      <c r="C96" s="17" t="str">
        <f t="shared" si="8"/>
        <v>FCFS</v>
      </c>
      <c r="D96" s="14">
        <v>43831</v>
      </c>
      <c r="E96" s="14">
        <v>44196</v>
      </c>
      <c r="F96" s="20">
        <f t="shared" si="10"/>
        <v>365</v>
      </c>
      <c r="G96" s="15">
        <v>7000</v>
      </c>
      <c r="H96" s="5" t="s">
        <v>27</v>
      </c>
      <c r="I96" s="10">
        <v>3</v>
      </c>
      <c r="J96" s="10" t="s">
        <v>192</v>
      </c>
      <c r="K96" s="10">
        <v>90</v>
      </c>
      <c r="P96" s="5" t="str">
        <f t="shared" si="6"/>
        <v>CL</v>
      </c>
      <c r="Q96" s="10" t="str">
        <f t="shared" si="7"/>
        <v>Y</v>
      </c>
    </row>
    <row r="97" spans="1:17" x14ac:dyDescent="0.2">
      <c r="A97" s="4" t="s">
        <v>184</v>
      </c>
      <c r="B97" s="17" t="str">
        <f t="shared" si="9"/>
        <v>143 Preferential tariff quota</v>
      </c>
      <c r="C97" s="17" t="str">
        <f t="shared" si="8"/>
        <v>FCFS</v>
      </c>
      <c r="D97" s="14">
        <v>43831</v>
      </c>
      <c r="E97" s="14">
        <v>44196</v>
      </c>
      <c r="F97" s="20">
        <f t="shared" si="10"/>
        <v>365</v>
      </c>
      <c r="G97" s="15">
        <v>25000</v>
      </c>
      <c r="H97" s="5" t="s">
        <v>27</v>
      </c>
      <c r="I97" s="10">
        <v>3</v>
      </c>
      <c r="J97" s="10" t="s">
        <v>192</v>
      </c>
      <c r="K97" s="10">
        <v>90</v>
      </c>
      <c r="P97" s="5" t="str">
        <f t="shared" si="6"/>
        <v>CL</v>
      </c>
      <c r="Q97" s="10" t="str">
        <f t="shared" si="7"/>
        <v>Y</v>
      </c>
    </row>
    <row r="98" spans="1:17" x14ac:dyDescent="0.2">
      <c r="A98" s="4" t="s">
        <v>186</v>
      </c>
      <c r="B98" s="17" t="str">
        <f t="shared" si="9"/>
        <v>143 Preferential tariff quota</v>
      </c>
      <c r="C98" s="17" t="str">
        <f t="shared" si="8"/>
        <v>FCFS</v>
      </c>
      <c r="D98" s="14">
        <v>43831</v>
      </c>
      <c r="E98" s="14">
        <v>44196</v>
      </c>
      <c r="F98" s="20">
        <f t="shared" si="10"/>
        <v>365</v>
      </c>
      <c r="G98" s="15">
        <v>167000</v>
      </c>
      <c r="H98" s="5" t="s">
        <v>27</v>
      </c>
      <c r="I98" s="10">
        <v>3</v>
      </c>
      <c r="J98" s="10" t="s">
        <v>192</v>
      </c>
      <c r="K98" s="10">
        <v>90</v>
      </c>
      <c r="P98" s="5" t="str">
        <f t="shared" si="6"/>
        <v>CL</v>
      </c>
      <c r="Q98" s="10" t="str">
        <f t="shared" si="7"/>
        <v>Y</v>
      </c>
    </row>
    <row r="99" spans="1:17" x14ac:dyDescent="0.2">
      <c r="A99" s="4" t="s">
        <v>188</v>
      </c>
      <c r="B99" s="17" t="str">
        <f t="shared" si="9"/>
        <v>143 Preferential tariff quota</v>
      </c>
      <c r="C99" s="17" t="str">
        <f t="shared" si="8"/>
        <v>FCFS</v>
      </c>
      <c r="D99" s="14">
        <v>43831</v>
      </c>
      <c r="E99" s="14">
        <v>44196</v>
      </c>
      <c r="F99" s="20">
        <f t="shared" si="10"/>
        <v>365</v>
      </c>
      <c r="G99" s="15">
        <v>899000</v>
      </c>
      <c r="H99" s="5" t="s">
        <v>27</v>
      </c>
      <c r="I99" s="10">
        <v>3</v>
      </c>
      <c r="J99" s="10" t="s">
        <v>192</v>
      </c>
      <c r="K99" s="10">
        <v>90</v>
      </c>
      <c r="P99" s="5" t="str">
        <f t="shared" si="6"/>
        <v>CL</v>
      </c>
      <c r="Q99" s="10" t="str">
        <f t="shared" si="7"/>
        <v>Y</v>
      </c>
    </row>
    <row r="100" spans="1:17" x14ac:dyDescent="0.2">
      <c r="A100" s="4" t="s">
        <v>190</v>
      </c>
      <c r="B100" s="17" t="str">
        <f t="shared" si="9"/>
        <v>143 Preferential tariff quota</v>
      </c>
      <c r="C100" s="17" t="str">
        <f t="shared" si="8"/>
        <v>FCFS</v>
      </c>
      <c r="D100" s="14">
        <v>43831</v>
      </c>
      <c r="E100" s="14">
        <v>44196</v>
      </c>
      <c r="F100" s="20">
        <f t="shared" si="10"/>
        <v>365</v>
      </c>
      <c r="G100" s="15">
        <v>899000</v>
      </c>
      <c r="H100" s="5" t="s">
        <v>27</v>
      </c>
      <c r="I100" s="10">
        <v>3</v>
      </c>
      <c r="J100" s="10" t="s">
        <v>192</v>
      </c>
      <c r="K100" s="10">
        <v>90</v>
      </c>
      <c r="P100" s="5" t="str">
        <f t="shared" si="6"/>
        <v>CL</v>
      </c>
      <c r="Q100" s="10" t="str">
        <f t="shared" si="7"/>
        <v>Y</v>
      </c>
    </row>
    <row r="101" spans="1:17" x14ac:dyDescent="0.2">
      <c r="A101" s="4" t="s">
        <v>218</v>
      </c>
      <c r="B101" s="17" t="str">
        <f t="shared" si="9"/>
        <v>143 Preferential tariff quota</v>
      </c>
      <c r="C101" s="17" t="str">
        <f t="shared" si="8"/>
        <v>Licensed</v>
      </c>
      <c r="D101" s="14">
        <v>43677</v>
      </c>
      <c r="E101" s="14">
        <v>44042</v>
      </c>
      <c r="F101" s="20">
        <f t="shared" si="10"/>
        <v>365</v>
      </c>
      <c r="G101" s="15">
        <v>442000</v>
      </c>
      <c r="H101" s="5" t="s">
        <v>27</v>
      </c>
      <c r="I101" s="10">
        <v>3</v>
      </c>
      <c r="J101" s="10" t="s">
        <v>192</v>
      </c>
      <c r="K101" s="10">
        <v>90</v>
      </c>
      <c r="P101" s="5" t="str">
        <f t="shared" si="6"/>
        <v>CL</v>
      </c>
      <c r="Q101" s="10" t="str">
        <f t="shared" si="7"/>
        <v>Y</v>
      </c>
    </row>
    <row r="102" spans="1:17" x14ac:dyDescent="0.2">
      <c r="A102" s="22" t="s">
        <v>193</v>
      </c>
      <c r="B102" s="17" t="str">
        <f t="shared" si="9"/>
        <v>143 Preferential tariff quota</v>
      </c>
      <c r="C102" s="17" t="str">
        <f t="shared" si="8"/>
        <v>FCFS</v>
      </c>
      <c r="D102" s="14">
        <v>43568</v>
      </c>
      <c r="E102" s="14">
        <v>43830</v>
      </c>
      <c r="F102" s="20">
        <f t="shared" si="10"/>
        <v>262</v>
      </c>
      <c r="G102" s="15">
        <v>69000</v>
      </c>
      <c r="H102" s="5" t="s">
        <v>27</v>
      </c>
      <c r="I102" s="10">
        <v>3</v>
      </c>
      <c r="J102" s="10" t="s">
        <v>192</v>
      </c>
      <c r="K102" s="10">
        <v>90</v>
      </c>
      <c r="P102" s="5" t="str">
        <f t="shared" si="6"/>
        <v>FO</v>
      </c>
      <c r="Q102" s="10">
        <f t="shared" si="7"/>
        <v>0</v>
      </c>
    </row>
    <row r="103" spans="1:17" x14ac:dyDescent="0.2">
      <c r="A103" s="4" t="s">
        <v>197</v>
      </c>
      <c r="B103" s="17" t="str">
        <f t="shared" si="9"/>
        <v>143 Preferential tariff quota</v>
      </c>
      <c r="C103" s="17" t="str">
        <f t="shared" si="8"/>
        <v>FCFS</v>
      </c>
      <c r="D103" s="14">
        <v>43568</v>
      </c>
      <c r="E103" s="14">
        <v>43830</v>
      </c>
      <c r="F103" s="20">
        <f t="shared" si="10"/>
        <v>262</v>
      </c>
      <c r="G103" s="15">
        <v>74000</v>
      </c>
      <c r="H103" s="5" t="s">
        <v>27</v>
      </c>
      <c r="I103" s="10">
        <v>3</v>
      </c>
      <c r="J103" s="10" t="s">
        <v>192</v>
      </c>
      <c r="K103" s="10">
        <v>90</v>
      </c>
      <c r="P103" s="5" t="str">
        <f t="shared" si="6"/>
        <v>FO</v>
      </c>
      <c r="Q103" s="10">
        <f t="shared" si="7"/>
        <v>0</v>
      </c>
    </row>
    <row r="104" spans="1:17" x14ac:dyDescent="0.2">
      <c r="A104" s="4" t="s">
        <v>199</v>
      </c>
      <c r="B104" s="17" t="str">
        <f t="shared" si="9"/>
        <v>143 Preferential tariff quota</v>
      </c>
      <c r="C104" s="17" t="str">
        <f t="shared" si="8"/>
        <v>FCFS</v>
      </c>
      <c r="D104" s="14">
        <v>43568</v>
      </c>
      <c r="E104" s="14">
        <v>43830</v>
      </c>
      <c r="F104" s="20">
        <f t="shared" si="10"/>
        <v>262</v>
      </c>
      <c r="G104" s="15">
        <v>118000</v>
      </c>
      <c r="H104" s="5" t="s">
        <v>27</v>
      </c>
      <c r="I104" s="10">
        <v>3</v>
      </c>
      <c r="J104" s="10" t="s">
        <v>192</v>
      </c>
      <c r="K104" s="10">
        <v>90</v>
      </c>
      <c r="P104" s="5" t="str">
        <f t="shared" si="6"/>
        <v>FO</v>
      </c>
      <c r="Q104" s="10">
        <f t="shared" si="7"/>
        <v>0</v>
      </c>
    </row>
    <row r="105" spans="1:17" x14ac:dyDescent="0.2">
      <c r="A105" s="4" t="s">
        <v>201</v>
      </c>
      <c r="B105" s="17" t="str">
        <f t="shared" si="9"/>
        <v>143 Preferential tariff quota</v>
      </c>
      <c r="C105" s="17" t="str">
        <f t="shared" si="8"/>
        <v>FCFS</v>
      </c>
      <c r="D105" s="14">
        <v>43568</v>
      </c>
      <c r="E105" s="14">
        <v>43830</v>
      </c>
      <c r="F105" s="20">
        <f t="shared" si="10"/>
        <v>262</v>
      </c>
      <c r="G105" s="15">
        <v>39000</v>
      </c>
      <c r="H105" s="5" t="s">
        <v>27</v>
      </c>
      <c r="I105" s="10">
        <v>3</v>
      </c>
      <c r="J105" s="10" t="s">
        <v>192</v>
      </c>
      <c r="K105" s="10">
        <v>90</v>
      </c>
      <c r="P105" s="5" t="str">
        <f t="shared" si="6"/>
        <v>FO</v>
      </c>
      <c r="Q105" s="10">
        <f t="shared" si="7"/>
        <v>0</v>
      </c>
    </row>
    <row r="106" spans="1:17" x14ac:dyDescent="0.2">
      <c r="A106" s="4" t="s">
        <v>203</v>
      </c>
      <c r="B106" s="17" t="str">
        <f t="shared" si="9"/>
        <v>143 Preferential tariff quota</v>
      </c>
      <c r="C106" s="17" t="str">
        <f t="shared" si="8"/>
        <v>FCFS</v>
      </c>
      <c r="D106" s="14">
        <v>43568</v>
      </c>
      <c r="E106" s="14">
        <v>43830</v>
      </c>
      <c r="F106" s="20">
        <f t="shared" si="10"/>
        <v>262</v>
      </c>
      <c r="G106" s="15">
        <v>74000</v>
      </c>
      <c r="H106" s="5" t="s">
        <v>27</v>
      </c>
      <c r="I106" s="10">
        <v>3</v>
      </c>
      <c r="J106" s="10" t="s">
        <v>192</v>
      </c>
      <c r="K106" s="10">
        <v>90</v>
      </c>
      <c r="P106" s="5" t="str">
        <f t="shared" si="6"/>
        <v>FO</v>
      </c>
      <c r="Q106" s="10">
        <f t="shared" si="7"/>
        <v>0</v>
      </c>
    </row>
    <row r="107" spans="1:17" x14ac:dyDescent="0.2">
      <c r="A107" s="4" t="s">
        <v>205</v>
      </c>
      <c r="B107" s="17" t="str">
        <f t="shared" si="9"/>
        <v>143 Preferential tariff quota</v>
      </c>
      <c r="C107" s="17" t="str">
        <f t="shared" si="8"/>
        <v>FCFS</v>
      </c>
      <c r="D107" s="14">
        <v>43568</v>
      </c>
      <c r="E107" s="14">
        <v>43830</v>
      </c>
      <c r="F107" s="20">
        <f t="shared" si="10"/>
        <v>262</v>
      </c>
      <c r="G107" s="15">
        <v>393000</v>
      </c>
      <c r="H107" s="5" t="s">
        <v>27</v>
      </c>
      <c r="I107" s="10">
        <v>3</v>
      </c>
      <c r="J107" s="10" t="s">
        <v>192</v>
      </c>
      <c r="K107" s="10">
        <v>90</v>
      </c>
      <c r="P107" s="5" t="str">
        <f t="shared" si="6"/>
        <v>FO</v>
      </c>
      <c r="Q107" s="10">
        <f t="shared" si="7"/>
        <v>0</v>
      </c>
    </row>
    <row r="108" spans="1:17" x14ac:dyDescent="0.2">
      <c r="A108" s="4" t="s">
        <v>207</v>
      </c>
      <c r="B108" s="17" t="str">
        <f t="shared" si="9"/>
        <v>143 Preferential tariff quota</v>
      </c>
      <c r="C108" s="17" t="str">
        <f t="shared" si="8"/>
        <v>FCFS</v>
      </c>
      <c r="D108" s="14">
        <v>43568</v>
      </c>
      <c r="E108" s="14">
        <v>43830</v>
      </c>
      <c r="F108" s="20">
        <f t="shared" si="10"/>
        <v>262</v>
      </c>
      <c r="G108" s="15">
        <v>118000</v>
      </c>
      <c r="H108" s="5" t="s">
        <v>27</v>
      </c>
      <c r="I108" s="10">
        <v>3</v>
      </c>
      <c r="J108" s="10" t="s">
        <v>192</v>
      </c>
      <c r="K108" s="10">
        <v>90</v>
      </c>
      <c r="P108" s="5" t="str">
        <f t="shared" si="6"/>
        <v>FO</v>
      </c>
      <c r="Q108" s="10">
        <f t="shared" si="7"/>
        <v>0</v>
      </c>
    </row>
    <row r="109" spans="1:17" x14ac:dyDescent="0.2">
      <c r="A109" s="4" t="s">
        <v>209</v>
      </c>
      <c r="B109" s="17" t="str">
        <f t="shared" si="9"/>
        <v>143 Preferential tariff quota</v>
      </c>
      <c r="C109" s="17" t="str">
        <f t="shared" si="8"/>
        <v>FCFS</v>
      </c>
      <c r="D109" s="14">
        <v>43568</v>
      </c>
      <c r="E109" s="14">
        <v>43830</v>
      </c>
      <c r="F109" s="20">
        <f t="shared" si="10"/>
        <v>262</v>
      </c>
      <c r="G109" s="15">
        <v>1963000</v>
      </c>
      <c r="H109" s="5" t="s">
        <v>27</v>
      </c>
      <c r="I109" s="10">
        <v>3</v>
      </c>
      <c r="J109" s="10" t="s">
        <v>192</v>
      </c>
      <c r="K109" s="10">
        <v>90</v>
      </c>
      <c r="P109" s="5" t="str">
        <f t="shared" si="6"/>
        <v>FO</v>
      </c>
      <c r="Q109" s="10">
        <f t="shared" si="7"/>
        <v>0</v>
      </c>
    </row>
    <row r="110" spans="1:17" x14ac:dyDescent="0.2">
      <c r="A110" s="4" t="s">
        <v>211</v>
      </c>
      <c r="B110" s="17" t="str">
        <f t="shared" si="9"/>
        <v>143 Preferential tariff quota</v>
      </c>
      <c r="C110" s="17" t="str">
        <f t="shared" si="8"/>
        <v>FCFS</v>
      </c>
      <c r="D110" s="14">
        <v>43568</v>
      </c>
      <c r="E110" s="14">
        <v>43830</v>
      </c>
      <c r="F110" s="20">
        <f t="shared" si="10"/>
        <v>262</v>
      </c>
      <c r="G110" s="15">
        <v>2000</v>
      </c>
      <c r="H110" s="5" t="s">
        <v>27</v>
      </c>
      <c r="I110" s="10">
        <v>3</v>
      </c>
      <c r="J110" s="10" t="s">
        <v>192</v>
      </c>
      <c r="K110" s="10">
        <v>90</v>
      </c>
      <c r="P110" s="5" t="str">
        <f t="shared" si="6"/>
        <v>FO</v>
      </c>
      <c r="Q110" s="10">
        <f t="shared" si="7"/>
        <v>0</v>
      </c>
    </row>
    <row r="111" spans="1:17" x14ac:dyDescent="0.2">
      <c r="A111" s="4" t="s">
        <v>213</v>
      </c>
      <c r="B111" s="17" t="str">
        <f t="shared" si="9"/>
        <v>143 Preferential tariff quota</v>
      </c>
      <c r="C111" s="17" t="str">
        <f t="shared" si="8"/>
        <v>FCFS</v>
      </c>
      <c r="D111" s="14">
        <v>43568</v>
      </c>
      <c r="E111" s="14">
        <v>43830</v>
      </c>
      <c r="F111" s="20">
        <f t="shared" si="10"/>
        <v>262</v>
      </c>
      <c r="G111" s="15">
        <v>2000</v>
      </c>
      <c r="H111" s="5" t="s">
        <v>27</v>
      </c>
      <c r="I111" s="10">
        <v>3</v>
      </c>
      <c r="J111" s="10" t="s">
        <v>192</v>
      </c>
      <c r="K111" s="10">
        <v>90</v>
      </c>
      <c r="P111" s="5" t="str">
        <f t="shared" si="6"/>
        <v>FO</v>
      </c>
      <c r="Q111" s="10">
        <f t="shared" si="7"/>
        <v>0</v>
      </c>
    </row>
    <row r="112" spans="1:17" x14ac:dyDescent="0.2">
      <c r="A112" s="4" t="s">
        <v>215</v>
      </c>
      <c r="B112" s="17" t="str">
        <f t="shared" si="9"/>
        <v>143 Preferential tariff quota</v>
      </c>
      <c r="C112" s="17" t="str">
        <f t="shared" si="8"/>
        <v>FCFS</v>
      </c>
      <c r="D112" s="14">
        <v>43568</v>
      </c>
      <c r="E112" s="14">
        <v>43830</v>
      </c>
      <c r="F112" s="20">
        <f t="shared" si="10"/>
        <v>262</v>
      </c>
      <c r="G112" s="15">
        <v>2000</v>
      </c>
      <c r="H112" s="5" t="s">
        <v>27</v>
      </c>
      <c r="I112" s="10">
        <v>3</v>
      </c>
      <c r="J112" s="10" t="s">
        <v>192</v>
      </c>
      <c r="K112" s="10">
        <v>90</v>
      </c>
      <c r="P112" s="5" t="str">
        <f t="shared" si="6"/>
        <v>FO</v>
      </c>
      <c r="Q112" s="10">
        <f t="shared" si="7"/>
        <v>0</v>
      </c>
    </row>
    <row r="113" spans="1:17" x14ac:dyDescent="0.2">
      <c r="A113" s="22" t="s">
        <v>193</v>
      </c>
      <c r="B113" s="17" t="str">
        <f t="shared" si="9"/>
        <v>143 Preferential tariff quota</v>
      </c>
      <c r="C113" s="17" t="str">
        <f t="shared" si="8"/>
        <v>FCFS</v>
      </c>
      <c r="D113" s="14">
        <v>43831</v>
      </c>
      <c r="E113" s="14">
        <v>44196</v>
      </c>
      <c r="F113" s="20">
        <f t="shared" si="10"/>
        <v>365</v>
      </c>
      <c r="G113" s="15">
        <v>95000</v>
      </c>
      <c r="H113" s="5" t="s">
        <v>27</v>
      </c>
      <c r="I113" s="10">
        <v>3</v>
      </c>
      <c r="J113" s="10" t="s">
        <v>192</v>
      </c>
      <c r="K113" s="10">
        <v>90</v>
      </c>
      <c r="P113" s="5" t="str">
        <f t="shared" si="6"/>
        <v>FO</v>
      </c>
      <c r="Q113" s="10">
        <f t="shared" si="7"/>
        <v>0</v>
      </c>
    </row>
    <row r="114" spans="1:17" x14ac:dyDescent="0.2">
      <c r="A114" s="4" t="s">
        <v>197</v>
      </c>
      <c r="B114" s="17" t="str">
        <f t="shared" si="9"/>
        <v>143 Preferential tariff quota</v>
      </c>
      <c r="C114" s="17" t="str">
        <f t="shared" si="8"/>
        <v>FCFS</v>
      </c>
      <c r="D114" s="14">
        <v>43831</v>
      </c>
      <c r="E114" s="14">
        <v>44196</v>
      </c>
      <c r="F114" s="20">
        <f t="shared" si="10"/>
        <v>365</v>
      </c>
      <c r="G114" s="15">
        <v>102000</v>
      </c>
      <c r="H114" s="5" t="s">
        <v>27</v>
      </c>
      <c r="I114" s="10">
        <v>3</v>
      </c>
      <c r="J114" s="10" t="s">
        <v>192</v>
      </c>
      <c r="K114" s="10">
        <v>90</v>
      </c>
      <c r="P114" s="5" t="str">
        <f t="shared" si="6"/>
        <v>FO</v>
      </c>
      <c r="Q114" s="10">
        <f t="shared" si="7"/>
        <v>0</v>
      </c>
    </row>
    <row r="115" spans="1:17" x14ac:dyDescent="0.2">
      <c r="A115" s="4" t="s">
        <v>199</v>
      </c>
      <c r="B115" s="17" t="str">
        <f t="shared" si="9"/>
        <v>143 Preferential tariff quota</v>
      </c>
      <c r="C115" s="17" t="str">
        <f t="shared" si="8"/>
        <v>FCFS</v>
      </c>
      <c r="D115" s="14">
        <v>43831</v>
      </c>
      <c r="E115" s="14">
        <v>44196</v>
      </c>
      <c r="F115" s="20">
        <f t="shared" si="10"/>
        <v>365</v>
      </c>
      <c r="G115" s="15">
        <v>163000</v>
      </c>
      <c r="H115" s="5" t="s">
        <v>27</v>
      </c>
      <c r="I115" s="10">
        <v>3</v>
      </c>
      <c r="J115" s="10" t="s">
        <v>192</v>
      </c>
      <c r="K115" s="10">
        <v>90</v>
      </c>
      <c r="P115" s="5" t="str">
        <f t="shared" si="6"/>
        <v>FO</v>
      </c>
      <c r="Q115" s="10">
        <f t="shared" si="7"/>
        <v>0</v>
      </c>
    </row>
    <row r="116" spans="1:17" x14ac:dyDescent="0.2">
      <c r="A116" s="4" t="s">
        <v>201</v>
      </c>
      <c r="B116" s="17" t="str">
        <f t="shared" si="9"/>
        <v>143 Preferential tariff quota</v>
      </c>
      <c r="C116" s="17" t="str">
        <f t="shared" si="8"/>
        <v>FCFS</v>
      </c>
      <c r="D116" s="14">
        <v>43831</v>
      </c>
      <c r="E116" s="14">
        <v>44196</v>
      </c>
      <c r="F116" s="20">
        <f t="shared" si="10"/>
        <v>365</v>
      </c>
      <c r="G116" s="15">
        <v>54000</v>
      </c>
      <c r="H116" s="5" t="s">
        <v>27</v>
      </c>
      <c r="I116" s="10">
        <v>3</v>
      </c>
      <c r="J116" s="10" t="s">
        <v>192</v>
      </c>
      <c r="K116" s="10">
        <v>90</v>
      </c>
      <c r="P116" s="5" t="str">
        <f t="shared" si="6"/>
        <v>FO</v>
      </c>
      <c r="Q116" s="10">
        <f t="shared" si="7"/>
        <v>0</v>
      </c>
    </row>
    <row r="117" spans="1:17" x14ac:dyDescent="0.2">
      <c r="A117" s="4" t="s">
        <v>203</v>
      </c>
      <c r="B117" s="17" t="str">
        <f t="shared" si="9"/>
        <v>143 Preferential tariff quota</v>
      </c>
      <c r="C117" s="17" t="str">
        <f t="shared" si="8"/>
        <v>FCFS</v>
      </c>
      <c r="D117" s="14">
        <v>43831</v>
      </c>
      <c r="E117" s="14">
        <v>44196</v>
      </c>
      <c r="F117" s="20">
        <f t="shared" si="10"/>
        <v>365</v>
      </c>
      <c r="G117" s="15">
        <v>102000</v>
      </c>
      <c r="H117" s="5" t="s">
        <v>27</v>
      </c>
      <c r="I117" s="10">
        <v>3</v>
      </c>
      <c r="J117" s="10" t="s">
        <v>192</v>
      </c>
      <c r="K117" s="10">
        <v>90</v>
      </c>
      <c r="P117" s="5" t="str">
        <f t="shared" si="6"/>
        <v>FO</v>
      </c>
      <c r="Q117" s="10">
        <f t="shared" si="7"/>
        <v>0</v>
      </c>
    </row>
    <row r="118" spans="1:17" x14ac:dyDescent="0.2">
      <c r="A118" s="4" t="s">
        <v>205</v>
      </c>
      <c r="B118" s="17" t="str">
        <f t="shared" si="9"/>
        <v>143 Preferential tariff quota</v>
      </c>
      <c r="C118" s="17" t="str">
        <f t="shared" si="8"/>
        <v>FCFS</v>
      </c>
      <c r="D118" s="14">
        <v>43831</v>
      </c>
      <c r="E118" s="14">
        <v>44196</v>
      </c>
      <c r="F118" s="20">
        <f t="shared" si="10"/>
        <v>365</v>
      </c>
      <c r="G118" s="15">
        <v>545000</v>
      </c>
      <c r="H118" s="5" t="s">
        <v>27</v>
      </c>
      <c r="I118" s="10">
        <v>3</v>
      </c>
      <c r="J118" s="10" t="s">
        <v>192</v>
      </c>
      <c r="K118" s="10">
        <v>90</v>
      </c>
      <c r="P118" s="5" t="str">
        <f t="shared" si="6"/>
        <v>FO</v>
      </c>
      <c r="Q118" s="10">
        <f t="shared" si="7"/>
        <v>0</v>
      </c>
    </row>
    <row r="119" spans="1:17" x14ac:dyDescent="0.2">
      <c r="A119" s="4" t="s">
        <v>207</v>
      </c>
      <c r="B119" s="17" t="str">
        <f t="shared" si="9"/>
        <v>143 Preferential tariff quota</v>
      </c>
      <c r="C119" s="17" t="str">
        <f t="shared" si="8"/>
        <v>FCFS</v>
      </c>
      <c r="D119" s="14">
        <v>43831</v>
      </c>
      <c r="E119" s="14">
        <v>44196</v>
      </c>
      <c r="F119" s="20">
        <f t="shared" si="10"/>
        <v>365</v>
      </c>
      <c r="G119" s="15">
        <v>163000</v>
      </c>
      <c r="H119" s="5" t="s">
        <v>27</v>
      </c>
      <c r="I119" s="10">
        <v>3</v>
      </c>
      <c r="J119" s="10" t="s">
        <v>192</v>
      </c>
      <c r="K119" s="10">
        <v>90</v>
      </c>
      <c r="P119" s="5" t="str">
        <f t="shared" si="6"/>
        <v>FO</v>
      </c>
      <c r="Q119" s="10">
        <f t="shared" si="7"/>
        <v>0</v>
      </c>
    </row>
    <row r="120" spans="1:17" x14ac:dyDescent="0.2">
      <c r="A120" s="4" t="s">
        <v>209</v>
      </c>
      <c r="B120" s="17" t="str">
        <f t="shared" si="9"/>
        <v>143 Preferential tariff quota</v>
      </c>
      <c r="C120" s="17" t="str">
        <f t="shared" si="8"/>
        <v>FCFS</v>
      </c>
      <c r="D120" s="14">
        <v>43831</v>
      </c>
      <c r="E120" s="14">
        <v>44196</v>
      </c>
      <c r="F120" s="20">
        <f t="shared" si="10"/>
        <v>365</v>
      </c>
      <c r="G120" s="15">
        <v>2724000</v>
      </c>
      <c r="H120" s="5" t="s">
        <v>27</v>
      </c>
      <c r="I120" s="10">
        <v>3</v>
      </c>
      <c r="J120" s="10" t="s">
        <v>192</v>
      </c>
      <c r="K120" s="10">
        <v>90</v>
      </c>
      <c r="P120" s="5" t="str">
        <f t="shared" si="6"/>
        <v>FO</v>
      </c>
      <c r="Q120" s="10">
        <f t="shared" si="7"/>
        <v>0</v>
      </c>
    </row>
    <row r="121" spans="1:17" x14ac:dyDescent="0.2">
      <c r="A121" s="4" t="s">
        <v>211</v>
      </c>
      <c r="B121" s="17" t="str">
        <f t="shared" si="9"/>
        <v>143 Preferential tariff quota</v>
      </c>
      <c r="C121" s="17" t="str">
        <f t="shared" si="8"/>
        <v>FCFS</v>
      </c>
      <c r="D121" s="14">
        <v>43831</v>
      </c>
      <c r="E121" s="14">
        <v>44196</v>
      </c>
      <c r="F121" s="20">
        <f t="shared" si="10"/>
        <v>365</v>
      </c>
      <c r="G121" s="15">
        <v>3000</v>
      </c>
      <c r="H121" s="5" t="s">
        <v>27</v>
      </c>
      <c r="I121" s="10">
        <v>3</v>
      </c>
      <c r="J121" s="10" t="s">
        <v>192</v>
      </c>
      <c r="K121" s="10">
        <v>90</v>
      </c>
      <c r="P121" s="5" t="str">
        <f t="shared" si="6"/>
        <v>FO</v>
      </c>
      <c r="Q121" s="10">
        <f t="shared" si="7"/>
        <v>0</v>
      </c>
    </row>
    <row r="122" spans="1:17" x14ac:dyDescent="0.2">
      <c r="A122" s="4" t="s">
        <v>213</v>
      </c>
      <c r="B122" s="17" t="str">
        <f t="shared" si="9"/>
        <v>143 Preferential tariff quota</v>
      </c>
      <c r="C122" s="17" t="str">
        <f t="shared" si="8"/>
        <v>FCFS</v>
      </c>
      <c r="D122" s="14">
        <v>43831</v>
      </c>
      <c r="E122" s="14">
        <v>44196</v>
      </c>
      <c r="F122" s="20">
        <f t="shared" si="10"/>
        <v>365</v>
      </c>
      <c r="G122" s="15">
        <v>3000</v>
      </c>
      <c r="H122" s="5" t="s">
        <v>27</v>
      </c>
      <c r="I122" s="10">
        <v>3</v>
      </c>
      <c r="J122" s="10" t="s">
        <v>192</v>
      </c>
      <c r="K122" s="10">
        <v>90</v>
      </c>
      <c r="P122" s="5" t="str">
        <f t="shared" si="6"/>
        <v>FO</v>
      </c>
      <c r="Q122" s="10">
        <f t="shared" si="7"/>
        <v>0</v>
      </c>
    </row>
    <row r="123" spans="1:17" x14ac:dyDescent="0.2">
      <c r="A123" s="4" t="s">
        <v>215</v>
      </c>
      <c r="B123" s="17" t="str">
        <f t="shared" si="9"/>
        <v>143 Preferential tariff quota</v>
      </c>
      <c r="C123" s="17" t="str">
        <f t="shared" si="8"/>
        <v>FCFS</v>
      </c>
      <c r="D123" s="14">
        <v>43831</v>
      </c>
      <c r="E123" s="14">
        <v>44196</v>
      </c>
      <c r="F123" s="20">
        <f t="shared" si="10"/>
        <v>365</v>
      </c>
      <c r="G123" s="15">
        <v>3000</v>
      </c>
      <c r="H123" s="5" t="s">
        <v>27</v>
      </c>
      <c r="I123" s="10">
        <v>3</v>
      </c>
      <c r="J123" s="10" t="s">
        <v>192</v>
      </c>
      <c r="K123" s="10">
        <v>90</v>
      </c>
      <c r="P123" s="5" t="str">
        <f t="shared" si="6"/>
        <v>FO</v>
      </c>
      <c r="Q123" s="10">
        <f t="shared" si="7"/>
        <v>0</v>
      </c>
    </row>
    <row r="124" spans="1:17" x14ac:dyDescent="0.2">
      <c r="A124" s="4" t="s">
        <v>681</v>
      </c>
      <c r="B124" s="17" t="str">
        <f t="shared" si="9"/>
        <v>143 Preferential tariff quota</v>
      </c>
      <c r="C124" s="17" t="str">
        <f t="shared" si="8"/>
        <v>FCFS</v>
      </c>
      <c r="D124" s="14">
        <v>43568</v>
      </c>
      <c r="E124" s="14">
        <v>43646</v>
      </c>
      <c r="F124" s="20">
        <f t="shared" si="10"/>
        <v>78</v>
      </c>
      <c r="G124" s="15">
        <v>4229000</v>
      </c>
      <c r="H124" s="5" t="s">
        <v>27</v>
      </c>
      <c r="I124" s="10">
        <v>3</v>
      </c>
      <c r="J124" s="10" t="s">
        <v>192</v>
      </c>
      <c r="K124" s="10">
        <v>90</v>
      </c>
      <c r="P124" s="5" t="str">
        <f t="shared" si="6"/>
        <v>IL</v>
      </c>
      <c r="Q124" s="10">
        <f t="shared" si="7"/>
        <v>0</v>
      </c>
    </row>
    <row r="125" spans="1:17" x14ac:dyDescent="0.2">
      <c r="A125" s="4" t="s">
        <v>682</v>
      </c>
      <c r="B125" s="17" t="str">
        <f t="shared" si="9"/>
        <v>143 Preferential tariff quota</v>
      </c>
      <c r="C125" s="17" t="str">
        <f t="shared" si="8"/>
        <v>FCFS</v>
      </c>
      <c r="D125" s="14">
        <v>43568</v>
      </c>
      <c r="E125" s="14">
        <v>43830</v>
      </c>
      <c r="F125" s="20">
        <f t="shared" si="10"/>
        <v>262</v>
      </c>
      <c r="G125" s="15">
        <v>128000</v>
      </c>
      <c r="H125" s="5" t="s">
        <v>27</v>
      </c>
      <c r="I125" s="10">
        <v>3</v>
      </c>
      <c r="J125" s="10" t="s">
        <v>192</v>
      </c>
      <c r="K125" s="10">
        <v>90</v>
      </c>
      <c r="P125" s="5" t="str">
        <f t="shared" si="6"/>
        <v>IL</v>
      </c>
      <c r="Q125" s="10">
        <f t="shared" si="7"/>
        <v>0</v>
      </c>
    </row>
    <row r="126" spans="1:17" x14ac:dyDescent="0.2">
      <c r="A126" s="4" t="s">
        <v>683</v>
      </c>
      <c r="B126" s="17" t="str">
        <f t="shared" si="9"/>
        <v>143 Preferential tariff quota</v>
      </c>
      <c r="C126" s="17" t="str">
        <f t="shared" si="8"/>
        <v>FCFS</v>
      </c>
      <c r="D126" s="14">
        <v>43568</v>
      </c>
      <c r="E126" s="14">
        <v>43830</v>
      </c>
      <c r="F126" s="20">
        <f t="shared" si="10"/>
        <v>262</v>
      </c>
      <c r="G126" s="15">
        <v>1693000</v>
      </c>
      <c r="H126" s="5" t="s">
        <v>27</v>
      </c>
      <c r="I126" s="10">
        <v>3</v>
      </c>
      <c r="J126" s="10" t="s">
        <v>192</v>
      </c>
      <c r="K126" s="10">
        <v>90</v>
      </c>
      <c r="P126" s="5" t="str">
        <f t="shared" si="6"/>
        <v>IL</v>
      </c>
      <c r="Q126" s="10">
        <f t="shared" si="7"/>
        <v>0</v>
      </c>
    </row>
    <row r="127" spans="1:17" x14ac:dyDescent="0.2">
      <c r="A127" s="4" t="s">
        <v>684</v>
      </c>
      <c r="B127" s="17" t="str">
        <f t="shared" si="9"/>
        <v>143 Preferential tariff quota</v>
      </c>
      <c r="C127" s="17" t="str">
        <f t="shared" si="8"/>
        <v>FCFS</v>
      </c>
      <c r="D127" s="14">
        <v>43568</v>
      </c>
      <c r="E127" s="14">
        <v>43830</v>
      </c>
      <c r="F127" s="20">
        <f t="shared" si="10"/>
        <v>262</v>
      </c>
      <c r="G127" s="15">
        <v>2748000</v>
      </c>
      <c r="H127" s="5" t="s">
        <v>27</v>
      </c>
      <c r="I127" s="10">
        <v>3</v>
      </c>
      <c r="J127" s="10" t="s">
        <v>192</v>
      </c>
      <c r="K127" s="10">
        <v>90</v>
      </c>
      <c r="P127" s="5" t="str">
        <f t="shared" si="6"/>
        <v>IL</v>
      </c>
      <c r="Q127" s="10">
        <f t="shared" si="7"/>
        <v>0</v>
      </c>
    </row>
    <row r="128" spans="1:17" x14ac:dyDescent="0.2">
      <c r="A128" s="4" t="s">
        <v>685</v>
      </c>
      <c r="B128" s="17" t="str">
        <f t="shared" si="9"/>
        <v>143 Preferential tariff quota</v>
      </c>
      <c r="C128" s="17" t="str">
        <f t="shared" si="8"/>
        <v>FCFS</v>
      </c>
      <c r="D128" s="14">
        <v>43568</v>
      </c>
      <c r="E128" s="14">
        <v>43830</v>
      </c>
      <c r="F128" s="20">
        <f t="shared" si="10"/>
        <v>262</v>
      </c>
      <c r="G128" s="15">
        <v>2178000</v>
      </c>
      <c r="H128" s="5" t="s">
        <v>27</v>
      </c>
      <c r="I128" s="10">
        <v>3</v>
      </c>
      <c r="J128" s="10" t="s">
        <v>192</v>
      </c>
      <c r="K128" s="10">
        <v>90</v>
      </c>
      <c r="P128" s="5" t="str">
        <f t="shared" si="6"/>
        <v>IL</v>
      </c>
      <c r="Q128" s="10">
        <f t="shared" si="7"/>
        <v>0</v>
      </c>
    </row>
    <row r="129" spans="1:17" x14ac:dyDescent="0.2">
      <c r="A129" s="4" t="s">
        <v>686</v>
      </c>
      <c r="B129" s="17" t="str">
        <f t="shared" si="9"/>
        <v>143 Preferential tariff quota</v>
      </c>
      <c r="C129" s="17" t="str">
        <f t="shared" si="8"/>
        <v>FCFS</v>
      </c>
      <c r="D129" s="14">
        <v>43568</v>
      </c>
      <c r="E129" s="14">
        <v>43830</v>
      </c>
      <c r="F129" s="20">
        <f t="shared" si="10"/>
        <v>262</v>
      </c>
      <c r="G129" s="15">
        <v>21983000</v>
      </c>
      <c r="H129" s="5" t="s">
        <v>27</v>
      </c>
      <c r="I129" s="10">
        <v>3</v>
      </c>
      <c r="J129" s="10" t="s">
        <v>192</v>
      </c>
      <c r="K129" s="10">
        <v>90</v>
      </c>
      <c r="P129" s="5" t="str">
        <f t="shared" si="6"/>
        <v>IL</v>
      </c>
      <c r="Q129" s="10">
        <f t="shared" si="7"/>
        <v>0</v>
      </c>
    </row>
    <row r="130" spans="1:17" x14ac:dyDescent="0.2">
      <c r="A130" s="4" t="s">
        <v>687</v>
      </c>
      <c r="B130" s="17" t="str">
        <f t="shared" si="9"/>
        <v>143 Preferential tariff quota</v>
      </c>
      <c r="C130" s="17" t="str">
        <f t="shared" si="8"/>
        <v>FCFS</v>
      </c>
      <c r="D130" s="14">
        <v>43568</v>
      </c>
      <c r="E130" s="14">
        <v>43830</v>
      </c>
      <c r="F130" s="20">
        <f t="shared" si="10"/>
        <v>262</v>
      </c>
      <c r="G130" s="15">
        <v>3435000</v>
      </c>
      <c r="H130" s="5" t="s">
        <v>27</v>
      </c>
      <c r="I130" s="10">
        <v>3</v>
      </c>
      <c r="J130" s="10" t="s">
        <v>192</v>
      </c>
      <c r="K130" s="10">
        <v>90</v>
      </c>
      <c r="P130" s="5" t="str">
        <f t="shared" ref="P130:P193" si="11">VLOOKUP(A130, quota_order_numbers2, 6, FALSE)</f>
        <v>IL</v>
      </c>
      <c r="Q130" s="10">
        <f t="shared" ref="Q130:Q193" si="12">VLOOKUP(A130, quota_order_numbers2, 2, FALSE)</f>
        <v>0</v>
      </c>
    </row>
    <row r="131" spans="1:17" x14ac:dyDescent="0.2">
      <c r="A131" s="4" t="s">
        <v>688</v>
      </c>
      <c r="B131" s="17" t="str">
        <f t="shared" si="9"/>
        <v>143 Preferential tariff quota</v>
      </c>
      <c r="C131" s="17" t="str">
        <f t="shared" si="8"/>
        <v>FCFS</v>
      </c>
      <c r="D131" s="14">
        <v>43568</v>
      </c>
      <c r="E131" s="14">
        <v>43830</v>
      </c>
      <c r="F131" s="20">
        <f t="shared" si="10"/>
        <v>262</v>
      </c>
      <c r="G131" s="15">
        <v>2088000</v>
      </c>
      <c r="H131" s="5" t="s">
        <v>27</v>
      </c>
      <c r="I131" s="10">
        <v>3</v>
      </c>
      <c r="J131" s="10" t="s">
        <v>192</v>
      </c>
      <c r="K131" s="10">
        <v>90</v>
      </c>
      <c r="P131" s="5" t="str">
        <f t="shared" si="11"/>
        <v>IL</v>
      </c>
      <c r="Q131" s="10">
        <f t="shared" si="12"/>
        <v>0</v>
      </c>
    </row>
    <row r="132" spans="1:17" x14ac:dyDescent="0.2">
      <c r="A132" s="4" t="s">
        <v>689</v>
      </c>
      <c r="B132" s="17" t="str">
        <f t="shared" si="9"/>
        <v>143 Preferential tariff quota</v>
      </c>
      <c r="C132" s="17" t="str">
        <f t="shared" si="8"/>
        <v>FCFS</v>
      </c>
      <c r="D132" s="14">
        <v>43568</v>
      </c>
      <c r="E132" s="19">
        <v>43570</v>
      </c>
      <c r="F132" s="20">
        <f t="shared" si="10"/>
        <v>2</v>
      </c>
      <c r="G132" s="15">
        <v>19000</v>
      </c>
      <c r="H132" s="5" t="s">
        <v>27</v>
      </c>
      <c r="I132" s="10">
        <v>3</v>
      </c>
      <c r="J132" s="10" t="s">
        <v>192</v>
      </c>
      <c r="K132" s="10">
        <v>90</v>
      </c>
      <c r="P132" s="5" t="str">
        <f t="shared" si="11"/>
        <v>IL</v>
      </c>
      <c r="Q132" s="10">
        <f t="shared" si="12"/>
        <v>0</v>
      </c>
    </row>
    <row r="133" spans="1:17" x14ac:dyDescent="0.2">
      <c r="A133" s="4" t="s">
        <v>690</v>
      </c>
      <c r="B133" s="17" t="str">
        <f t="shared" si="9"/>
        <v>143 Preferential tariff quota</v>
      </c>
      <c r="C133" s="17" t="str">
        <f t="shared" ref="C133:C198" si="13">IF(LEFT(A133,3)="094","Licensed","FCFS")</f>
        <v>FCFS</v>
      </c>
      <c r="D133" s="14">
        <v>43568</v>
      </c>
      <c r="E133" s="14">
        <v>43830</v>
      </c>
      <c r="F133" s="20">
        <f t="shared" si="10"/>
        <v>262</v>
      </c>
      <c r="G133" s="15">
        <v>491000</v>
      </c>
      <c r="H133" s="5" t="s">
        <v>27</v>
      </c>
      <c r="I133" s="10">
        <v>3</v>
      </c>
      <c r="J133" s="10" t="s">
        <v>192</v>
      </c>
      <c r="K133" s="10">
        <v>90</v>
      </c>
      <c r="P133" s="5" t="str">
        <f t="shared" si="11"/>
        <v>IL</v>
      </c>
      <c r="Q133" s="10">
        <f t="shared" si="12"/>
        <v>0</v>
      </c>
    </row>
    <row r="134" spans="1:17" x14ac:dyDescent="0.2">
      <c r="A134" s="4" t="s">
        <v>691</v>
      </c>
      <c r="B134" s="17" t="str">
        <f t="shared" si="9"/>
        <v>143 Preferential tariff quota</v>
      </c>
      <c r="C134" s="17" t="str">
        <f t="shared" si="13"/>
        <v>FCFS</v>
      </c>
      <c r="D134" s="14">
        <v>43568</v>
      </c>
      <c r="E134" s="14">
        <v>43830</v>
      </c>
      <c r="F134" s="20">
        <f t="shared" si="10"/>
        <v>262</v>
      </c>
      <c r="G134" s="15">
        <v>1040000</v>
      </c>
      <c r="H134" s="5" t="s">
        <v>27</v>
      </c>
      <c r="I134" s="10">
        <v>3</v>
      </c>
      <c r="J134" s="10" t="s">
        <v>192</v>
      </c>
      <c r="K134" s="10">
        <v>90</v>
      </c>
      <c r="P134" s="5" t="str">
        <f t="shared" si="11"/>
        <v>IL</v>
      </c>
      <c r="Q134" s="10">
        <f t="shared" si="12"/>
        <v>0</v>
      </c>
    </row>
    <row r="135" spans="1:17" x14ac:dyDescent="0.2">
      <c r="A135" s="4" t="s">
        <v>692</v>
      </c>
      <c r="B135" s="17" t="str">
        <f t="shared" si="9"/>
        <v>143 Preferential tariff quota</v>
      </c>
      <c r="C135" s="17" t="str">
        <f t="shared" si="13"/>
        <v>FCFS</v>
      </c>
      <c r="D135" s="14">
        <v>43568</v>
      </c>
      <c r="E135" s="14">
        <v>43830</v>
      </c>
      <c r="F135" s="20">
        <f t="shared" si="10"/>
        <v>262</v>
      </c>
      <c r="G135" s="15">
        <v>530000</v>
      </c>
      <c r="H135" s="5" t="s">
        <v>27</v>
      </c>
      <c r="I135" s="10">
        <v>3</v>
      </c>
      <c r="J135" s="10" t="s">
        <v>192</v>
      </c>
      <c r="K135" s="10">
        <v>90</v>
      </c>
      <c r="P135" s="5" t="str">
        <f t="shared" si="11"/>
        <v>IL</v>
      </c>
      <c r="Q135" s="10">
        <f t="shared" si="12"/>
        <v>0</v>
      </c>
    </row>
    <row r="136" spans="1:17" x14ac:dyDescent="0.2">
      <c r="A136" s="4" t="s">
        <v>693</v>
      </c>
      <c r="B136" s="17" t="str">
        <f t="shared" si="9"/>
        <v>143 Preferential tariff quota</v>
      </c>
      <c r="C136" s="17" t="str">
        <f t="shared" si="13"/>
        <v>FCFS</v>
      </c>
      <c r="D136" s="14">
        <v>43568</v>
      </c>
      <c r="E136" s="14">
        <v>43830</v>
      </c>
      <c r="F136" s="20">
        <f t="shared" si="10"/>
        <v>262</v>
      </c>
      <c r="G136" s="15">
        <v>12750</v>
      </c>
      <c r="H136" s="5" t="s">
        <v>47</v>
      </c>
      <c r="I136" s="10">
        <v>3</v>
      </c>
      <c r="J136" s="10" t="s">
        <v>192</v>
      </c>
      <c r="K136" s="10">
        <v>90</v>
      </c>
      <c r="P136" s="5" t="str">
        <f t="shared" si="11"/>
        <v>IL</v>
      </c>
      <c r="Q136" s="10">
        <f t="shared" si="12"/>
        <v>0</v>
      </c>
    </row>
    <row r="137" spans="1:17" x14ac:dyDescent="0.2">
      <c r="A137" s="4" t="s">
        <v>694</v>
      </c>
      <c r="B137" s="17" t="str">
        <f t="shared" si="9"/>
        <v>143 Preferential tariff quota</v>
      </c>
      <c r="C137" s="17" t="str">
        <f t="shared" si="13"/>
        <v>FCFS</v>
      </c>
      <c r="D137" s="14">
        <v>43568</v>
      </c>
      <c r="E137" s="14">
        <v>43830</v>
      </c>
      <c r="F137" s="20">
        <f t="shared" si="10"/>
        <v>262</v>
      </c>
      <c r="G137" s="15">
        <v>98000</v>
      </c>
      <c r="H137" s="5" t="s">
        <v>27</v>
      </c>
      <c r="I137" s="10">
        <v>3</v>
      </c>
      <c r="J137" s="10" t="s">
        <v>192</v>
      </c>
      <c r="K137" s="10">
        <v>90</v>
      </c>
      <c r="P137" s="5" t="str">
        <f t="shared" si="11"/>
        <v>IL</v>
      </c>
      <c r="Q137" s="10">
        <f t="shared" si="12"/>
        <v>0</v>
      </c>
    </row>
    <row r="138" spans="1:17" x14ac:dyDescent="0.2">
      <c r="A138" s="4" t="s">
        <v>695</v>
      </c>
      <c r="B138" s="17" t="str">
        <f t="shared" ref="B138:B203" si="14">VLOOKUP(A138, quota_order_numbers2, 5, FALSE)</f>
        <v>143 Preferential tariff quota</v>
      </c>
      <c r="C138" s="17" t="str">
        <f t="shared" si="13"/>
        <v>FCFS</v>
      </c>
      <c r="D138" s="14">
        <v>43568</v>
      </c>
      <c r="E138" s="14">
        <v>43830</v>
      </c>
      <c r="F138" s="20">
        <f t="shared" si="10"/>
        <v>262</v>
      </c>
      <c r="G138" s="15">
        <v>117000</v>
      </c>
      <c r="H138" s="5" t="s">
        <v>27</v>
      </c>
      <c r="I138" s="10">
        <v>3</v>
      </c>
      <c r="J138" s="10" t="s">
        <v>192</v>
      </c>
      <c r="K138" s="10">
        <v>90</v>
      </c>
      <c r="P138" s="5" t="str">
        <f t="shared" si="11"/>
        <v>IL</v>
      </c>
      <c r="Q138" s="10">
        <f t="shared" si="12"/>
        <v>0</v>
      </c>
    </row>
    <row r="139" spans="1:17" x14ac:dyDescent="0.2">
      <c r="A139" s="4" t="s">
        <v>696</v>
      </c>
      <c r="B139" s="17" t="str">
        <f t="shared" si="14"/>
        <v>143 Preferential tariff quota</v>
      </c>
      <c r="C139" s="17" t="str">
        <f t="shared" si="13"/>
        <v>FCFS</v>
      </c>
      <c r="D139" s="14">
        <v>43568</v>
      </c>
      <c r="E139" s="14">
        <v>43830</v>
      </c>
      <c r="F139" s="20">
        <f t="shared" ref="F139:F202" si="15">DATEDIF(D139, E139, "d")</f>
        <v>262</v>
      </c>
      <c r="G139" s="15">
        <v>3926000</v>
      </c>
      <c r="H139" s="5" t="s">
        <v>27</v>
      </c>
      <c r="I139" s="10">
        <v>3</v>
      </c>
      <c r="J139" s="10" t="s">
        <v>192</v>
      </c>
      <c r="K139" s="10">
        <v>90</v>
      </c>
      <c r="P139" s="5" t="str">
        <f t="shared" si="11"/>
        <v>IL</v>
      </c>
      <c r="Q139" s="10">
        <f t="shared" si="12"/>
        <v>0</v>
      </c>
    </row>
    <row r="140" spans="1:17" x14ac:dyDescent="0.2">
      <c r="A140" s="4" t="s">
        <v>697</v>
      </c>
      <c r="B140" s="17" t="str">
        <f t="shared" si="14"/>
        <v>143 Preferential tariff quota</v>
      </c>
      <c r="C140" s="17" t="str">
        <f t="shared" si="13"/>
        <v>FCFS</v>
      </c>
      <c r="D140" s="14">
        <v>43568</v>
      </c>
      <c r="E140" s="19">
        <v>43738</v>
      </c>
      <c r="F140" s="20">
        <f t="shared" si="15"/>
        <v>170</v>
      </c>
      <c r="G140" s="15">
        <v>1826000</v>
      </c>
      <c r="H140" s="5" t="s">
        <v>27</v>
      </c>
      <c r="I140" s="10">
        <v>3</v>
      </c>
      <c r="J140" s="10" t="s">
        <v>192</v>
      </c>
      <c r="K140" s="10">
        <v>90</v>
      </c>
      <c r="P140" s="5" t="str">
        <f t="shared" si="11"/>
        <v>IL</v>
      </c>
      <c r="Q140" s="10">
        <f t="shared" si="12"/>
        <v>0</v>
      </c>
    </row>
    <row r="141" spans="1:17" x14ac:dyDescent="0.2">
      <c r="A141" s="4" t="s">
        <v>698</v>
      </c>
      <c r="B141" s="17" t="str">
        <f t="shared" si="14"/>
        <v>143 Preferential tariff quota</v>
      </c>
      <c r="C141" s="17" t="str">
        <f t="shared" si="13"/>
        <v>FCFS</v>
      </c>
      <c r="D141" s="14">
        <v>43568</v>
      </c>
      <c r="E141" s="14">
        <v>43830</v>
      </c>
      <c r="F141" s="20">
        <f t="shared" si="15"/>
        <v>262</v>
      </c>
      <c r="G141" s="15">
        <v>491000</v>
      </c>
      <c r="H141" s="5" t="s">
        <v>27</v>
      </c>
      <c r="I141" s="10">
        <v>3</v>
      </c>
      <c r="J141" s="10" t="s">
        <v>192</v>
      </c>
      <c r="K141" s="10">
        <v>90</v>
      </c>
      <c r="P141" s="5" t="str">
        <f t="shared" si="11"/>
        <v>IL</v>
      </c>
      <c r="Q141" s="10">
        <f t="shared" si="12"/>
        <v>0</v>
      </c>
    </row>
    <row r="142" spans="1:17" x14ac:dyDescent="0.2">
      <c r="A142" s="4" t="s">
        <v>699</v>
      </c>
      <c r="B142" s="17" t="str">
        <f t="shared" si="14"/>
        <v>143 Preferential tariff quota</v>
      </c>
      <c r="C142" s="17" t="str">
        <f t="shared" si="13"/>
        <v>FCFS</v>
      </c>
      <c r="D142" s="14">
        <v>43568</v>
      </c>
      <c r="E142" s="14">
        <v>43830</v>
      </c>
      <c r="F142" s="20">
        <f t="shared" si="15"/>
        <v>262</v>
      </c>
      <c r="G142" s="15">
        <v>196000</v>
      </c>
      <c r="H142" s="5" t="s">
        <v>27</v>
      </c>
      <c r="I142" s="10">
        <v>3</v>
      </c>
      <c r="J142" s="10" t="s">
        <v>192</v>
      </c>
      <c r="K142" s="10">
        <v>90</v>
      </c>
      <c r="P142" s="5" t="str">
        <f t="shared" si="11"/>
        <v>IL</v>
      </c>
      <c r="Q142" s="10">
        <f t="shared" si="12"/>
        <v>0</v>
      </c>
    </row>
    <row r="143" spans="1:17" x14ac:dyDescent="0.2">
      <c r="A143" s="4" t="s">
        <v>700</v>
      </c>
      <c r="B143" s="17" t="str">
        <f t="shared" si="14"/>
        <v>143 Preferential tariff quota</v>
      </c>
      <c r="C143" s="17" t="str">
        <f t="shared" si="13"/>
        <v>FCFS</v>
      </c>
      <c r="D143" s="14">
        <v>43568</v>
      </c>
      <c r="E143" s="14">
        <v>43830</v>
      </c>
      <c r="F143" s="20">
        <f t="shared" si="15"/>
        <v>262</v>
      </c>
      <c r="G143" s="15">
        <v>10000</v>
      </c>
      <c r="H143" s="5" t="s">
        <v>27</v>
      </c>
      <c r="I143" s="10">
        <v>3</v>
      </c>
      <c r="J143" s="10" t="s">
        <v>192</v>
      </c>
      <c r="K143" s="10">
        <v>90</v>
      </c>
      <c r="P143" s="5" t="str">
        <f t="shared" si="11"/>
        <v>IL</v>
      </c>
      <c r="Q143" s="10">
        <f t="shared" si="12"/>
        <v>0</v>
      </c>
    </row>
    <row r="144" spans="1:17" x14ac:dyDescent="0.2">
      <c r="A144" s="4" t="s">
        <v>701</v>
      </c>
      <c r="B144" s="17" t="str">
        <f t="shared" si="14"/>
        <v>143 Preferential tariff quota</v>
      </c>
      <c r="C144" s="17" t="str">
        <f t="shared" si="13"/>
        <v>FCFS</v>
      </c>
      <c r="D144" s="14">
        <v>43568</v>
      </c>
      <c r="E144" s="14">
        <v>43830</v>
      </c>
      <c r="F144" s="20">
        <f t="shared" si="15"/>
        <v>262</v>
      </c>
      <c r="G144" s="15">
        <v>246000</v>
      </c>
      <c r="H144" s="5" t="s">
        <v>27</v>
      </c>
      <c r="I144" s="10">
        <v>3</v>
      </c>
      <c r="J144" s="10" t="s">
        <v>192</v>
      </c>
      <c r="K144" s="10">
        <v>90</v>
      </c>
      <c r="P144" s="5" t="str">
        <f t="shared" si="11"/>
        <v>IL</v>
      </c>
      <c r="Q144" s="10">
        <f t="shared" si="12"/>
        <v>0</v>
      </c>
    </row>
    <row r="145" spans="1:17" x14ac:dyDescent="0.2">
      <c r="A145" s="4" t="s">
        <v>702</v>
      </c>
      <c r="B145" s="17" t="str">
        <f t="shared" si="14"/>
        <v>143 Preferential tariff quota</v>
      </c>
      <c r="C145" s="17" t="str">
        <f t="shared" si="13"/>
        <v>FCFS</v>
      </c>
      <c r="D145" s="14">
        <v>43568</v>
      </c>
      <c r="E145" s="14">
        <v>43830</v>
      </c>
      <c r="F145" s="20">
        <f t="shared" si="15"/>
        <v>262</v>
      </c>
      <c r="G145" s="15">
        <v>314000</v>
      </c>
      <c r="H145" s="5" t="s">
        <v>27</v>
      </c>
      <c r="I145" s="10">
        <v>3</v>
      </c>
      <c r="J145" s="10" t="s">
        <v>192</v>
      </c>
      <c r="K145" s="10">
        <v>90</v>
      </c>
      <c r="P145" s="5" t="str">
        <f t="shared" si="11"/>
        <v>IL</v>
      </c>
      <c r="Q145" s="10">
        <f t="shared" si="12"/>
        <v>0</v>
      </c>
    </row>
    <row r="146" spans="1:17" x14ac:dyDescent="0.2">
      <c r="A146" s="4" t="s">
        <v>703</v>
      </c>
      <c r="B146" s="17" t="str">
        <f t="shared" si="14"/>
        <v>143 Preferential tariff quota</v>
      </c>
      <c r="C146" s="17" t="str">
        <f t="shared" si="13"/>
        <v>FCFS</v>
      </c>
      <c r="D146" s="14">
        <v>43568</v>
      </c>
      <c r="E146" s="14">
        <v>43830</v>
      </c>
      <c r="F146" s="20">
        <f t="shared" si="15"/>
        <v>262</v>
      </c>
      <c r="G146" s="15">
        <v>77000</v>
      </c>
      <c r="H146" s="5" t="s">
        <v>27</v>
      </c>
      <c r="I146" s="10">
        <v>3</v>
      </c>
      <c r="J146" s="10" t="s">
        <v>192</v>
      </c>
      <c r="K146" s="10">
        <v>90</v>
      </c>
      <c r="P146" s="5" t="str">
        <f t="shared" si="11"/>
        <v>IL</v>
      </c>
      <c r="Q146" s="10">
        <f t="shared" si="12"/>
        <v>0</v>
      </c>
    </row>
    <row r="147" spans="1:17" x14ac:dyDescent="0.2">
      <c r="A147" s="4" t="s">
        <v>704</v>
      </c>
      <c r="B147" s="17" t="str">
        <f t="shared" si="14"/>
        <v>143 Preferential tariff quota</v>
      </c>
      <c r="C147" s="17" t="str">
        <f t="shared" si="13"/>
        <v>FCFS</v>
      </c>
      <c r="D147" s="14">
        <v>43568</v>
      </c>
      <c r="E147" s="14">
        <v>43830</v>
      </c>
      <c r="F147" s="20">
        <f t="shared" si="15"/>
        <v>262</v>
      </c>
      <c r="G147" s="15">
        <v>11000</v>
      </c>
      <c r="H147" s="5" t="s">
        <v>27</v>
      </c>
      <c r="I147" s="10">
        <v>3</v>
      </c>
      <c r="J147" s="10" t="s">
        <v>192</v>
      </c>
      <c r="K147" s="10">
        <v>90</v>
      </c>
      <c r="P147" s="5" t="str">
        <f t="shared" si="11"/>
        <v>IL</v>
      </c>
      <c r="Q147" s="10">
        <f t="shared" si="12"/>
        <v>0</v>
      </c>
    </row>
    <row r="148" spans="1:17" x14ac:dyDescent="0.2">
      <c r="A148" s="4" t="s">
        <v>705</v>
      </c>
      <c r="B148" s="17" t="str">
        <f t="shared" si="14"/>
        <v>143 Preferential tariff quota</v>
      </c>
      <c r="C148" s="17" t="str">
        <f t="shared" si="13"/>
        <v>FCFS</v>
      </c>
      <c r="D148" s="14">
        <v>43568</v>
      </c>
      <c r="E148" s="14">
        <v>43830</v>
      </c>
      <c r="F148" s="20">
        <f t="shared" si="15"/>
        <v>262</v>
      </c>
      <c r="G148" s="15">
        <v>1929000</v>
      </c>
      <c r="H148" s="5" t="s">
        <v>27</v>
      </c>
      <c r="I148" s="10">
        <v>3</v>
      </c>
      <c r="J148" s="10" t="s">
        <v>192</v>
      </c>
      <c r="K148" s="10">
        <v>90</v>
      </c>
      <c r="P148" s="5" t="str">
        <f t="shared" si="11"/>
        <v>IL</v>
      </c>
      <c r="Q148" s="10">
        <f t="shared" si="12"/>
        <v>0</v>
      </c>
    </row>
    <row r="149" spans="1:17" x14ac:dyDescent="0.2">
      <c r="A149" s="4" t="s">
        <v>706</v>
      </c>
      <c r="B149" s="17" t="str">
        <f t="shared" si="14"/>
        <v>143 Preferential tariff quota</v>
      </c>
      <c r="C149" s="17" t="str">
        <f t="shared" si="13"/>
        <v>FCFS</v>
      </c>
      <c r="D149" s="14">
        <v>43568</v>
      </c>
      <c r="E149" s="14">
        <v>43830</v>
      </c>
      <c r="F149" s="20">
        <f t="shared" si="15"/>
        <v>262</v>
      </c>
      <c r="G149" s="15">
        <v>87600</v>
      </c>
      <c r="H149" s="5" t="s">
        <v>40</v>
      </c>
      <c r="I149" s="10">
        <v>3</v>
      </c>
      <c r="J149" s="10" t="s">
        <v>192</v>
      </c>
      <c r="K149" s="10">
        <v>90</v>
      </c>
      <c r="P149" s="5" t="str">
        <f t="shared" si="11"/>
        <v>IL</v>
      </c>
      <c r="Q149" s="10">
        <f t="shared" si="12"/>
        <v>0</v>
      </c>
    </row>
    <row r="150" spans="1:17" x14ac:dyDescent="0.2">
      <c r="A150" s="4" t="s">
        <v>707</v>
      </c>
      <c r="B150" s="17" t="str">
        <f t="shared" si="14"/>
        <v>143 Preferential tariff quota</v>
      </c>
      <c r="C150" s="17" t="str">
        <f t="shared" si="13"/>
        <v>FCFS</v>
      </c>
      <c r="D150" s="14">
        <v>43568</v>
      </c>
      <c r="E150" s="19">
        <v>43616</v>
      </c>
      <c r="F150" s="20">
        <f t="shared" si="15"/>
        <v>48</v>
      </c>
      <c r="G150" s="15">
        <v>659000</v>
      </c>
      <c r="H150" s="5" t="s">
        <v>27</v>
      </c>
      <c r="I150" s="10">
        <v>3</v>
      </c>
      <c r="J150" s="10" t="s">
        <v>192</v>
      </c>
      <c r="K150" s="10">
        <v>90</v>
      </c>
      <c r="P150" s="5" t="str">
        <f t="shared" si="11"/>
        <v>IL</v>
      </c>
      <c r="Q150" s="10">
        <f t="shared" si="12"/>
        <v>0</v>
      </c>
    </row>
    <row r="151" spans="1:17" x14ac:dyDescent="0.2">
      <c r="A151" s="4" t="s">
        <v>708</v>
      </c>
      <c r="B151" s="17" t="str">
        <f t="shared" si="14"/>
        <v>143 Preferential tariff quota</v>
      </c>
      <c r="C151" s="17" t="str">
        <f t="shared" si="13"/>
        <v>FCFS</v>
      </c>
      <c r="D151" s="14">
        <v>43568</v>
      </c>
      <c r="E151" s="19">
        <v>43585</v>
      </c>
      <c r="F151" s="20">
        <f t="shared" si="15"/>
        <v>17</v>
      </c>
      <c r="G151" s="15">
        <v>68000</v>
      </c>
      <c r="H151" s="5" t="s">
        <v>27</v>
      </c>
      <c r="I151" s="10">
        <v>3</v>
      </c>
      <c r="J151" s="10" t="s">
        <v>192</v>
      </c>
      <c r="K151" s="10">
        <v>90</v>
      </c>
      <c r="P151" s="5" t="str">
        <f t="shared" si="11"/>
        <v>IL</v>
      </c>
      <c r="Q151" s="10">
        <f t="shared" si="12"/>
        <v>0</v>
      </c>
    </row>
    <row r="152" spans="1:17" x14ac:dyDescent="0.2">
      <c r="A152" s="4" t="s">
        <v>709</v>
      </c>
      <c r="B152" s="17" t="str">
        <f t="shared" si="14"/>
        <v>143 Preferential tariff quota</v>
      </c>
      <c r="C152" s="17" t="str">
        <f t="shared" si="13"/>
        <v>FCFS</v>
      </c>
      <c r="D152" s="14">
        <v>43568</v>
      </c>
      <c r="E152" s="14">
        <v>43830</v>
      </c>
      <c r="F152" s="20">
        <f t="shared" si="15"/>
        <v>262</v>
      </c>
      <c r="G152" s="15">
        <v>24000</v>
      </c>
      <c r="H152" s="5" t="s">
        <v>27</v>
      </c>
      <c r="I152" s="10">
        <v>3</v>
      </c>
      <c r="J152" s="10" t="s">
        <v>192</v>
      </c>
      <c r="K152" s="10">
        <v>90</v>
      </c>
      <c r="P152" s="5" t="str">
        <f t="shared" si="11"/>
        <v>IL</v>
      </c>
      <c r="Q152" s="10">
        <f t="shared" si="12"/>
        <v>0</v>
      </c>
    </row>
    <row r="153" spans="1:17" x14ac:dyDescent="0.2">
      <c r="A153" s="4" t="s">
        <v>710</v>
      </c>
      <c r="B153" s="17" t="str">
        <f t="shared" si="14"/>
        <v>143 Preferential tariff quota</v>
      </c>
      <c r="C153" s="17" t="str">
        <f t="shared" si="13"/>
        <v>Licensed</v>
      </c>
      <c r="D153" s="14">
        <v>43568</v>
      </c>
      <c r="E153" s="14">
        <v>43830</v>
      </c>
      <c r="F153" s="20">
        <f t="shared" si="15"/>
        <v>262</v>
      </c>
      <c r="G153" s="15">
        <v>393000</v>
      </c>
      <c r="H153" s="5" t="s">
        <v>27</v>
      </c>
      <c r="I153" s="10">
        <v>3</v>
      </c>
      <c r="J153" s="10" t="s">
        <v>192</v>
      </c>
      <c r="K153" s="10">
        <v>90</v>
      </c>
      <c r="P153" s="5" t="str">
        <f t="shared" si="11"/>
        <v>IL</v>
      </c>
      <c r="Q153" s="10">
        <f t="shared" si="12"/>
        <v>0</v>
      </c>
    </row>
    <row r="154" spans="1:17" x14ac:dyDescent="0.2">
      <c r="A154" s="4" t="s">
        <v>711</v>
      </c>
      <c r="B154" s="17" t="str">
        <f t="shared" si="14"/>
        <v>143 Preferential tariff quota</v>
      </c>
      <c r="C154" s="17" t="str">
        <f t="shared" si="13"/>
        <v>Licensed</v>
      </c>
      <c r="D154" s="14">
        <v>43568</v>
      </c>
      <c r="E154" s="14">
        <v>43830</v>
      </c>
      <c r="F154" s="20">
        <f t="shared" si="15"/>
        <v>262</v>
      </c>
      <c r="G154" s="15">
        <v>55000</v>
      </c>
      <c r="H154" s="5" t="s">
        <v>27</v>
      </c>
      <c r="I154" s="10">
        <v>3</v>
      </c>
      <c r="J154" s="10" t="s">
        <v>192</v>
      </c>
      <c r="K154" s="10">
        <v>90</v>
      </c>
      <c r="P154" s="5" t="str">
        <f t="shared" si="11"/>
        <v>IL</v>
      </c>
      <c r="Q154" s="10">
        <f t="shared" si="12"/>
        <v>0</v>
      </c>
    </row>
    <row r="155" spans="1:17" x14ac:dyDescent="0.2">
      <c r="A155" s="22" t="s">
        <v>681</v>
      </c>
      <c r="B155" s="17" t="str">
        <f t="shared" si="14"/>
        <v>143 Preferential tariff quota</v>
      </c>
      <c r="C155" s="17" t="str">
        <f t="shared" si="13"/>
        <v>FCFS</v>
      </c>
      <c r="D155" s="14">
        <v>43831</v>
      </c>
      <c r="E155" s="14">
        <v>44012</v>
      </c>
      <c r="F155" s="20">
        <f t="shared" si="15"/>
        <v>181</v>
      </c>
      <c r="G155" s="15">
        <v>9689000</v>
      </c>
      <c r="H155" s="5" t="s">
        <v>27</v>
      </c>
      <c r="I155" s="10">
        <v>3</v>
      </c>
      <c r="J155" s="10" t="s">
        <v>192</v>
      </c>
      <c r="K155" s="10">
        <v>90</v>
      </c>
      <c r="P155" s="5" t="str">
        <f t="shared" si="11"/>
        <v>IL</v>
      </c>
      <c r="Q155" s="10">
        <f t="shared" si="12"/>
        <v>0</v>
      </c>
    </row>
    <row r="156" spans="1:17" x14ac:dyDescent="0.2">
      <c r="A156" s="4" t="s">
        <v>682</v>
      </c>
      <c r="B156" s="17" t="str">
        <f t="shared" si="14"/>
        <v>143 Preferential tariff quota</v>
      </c>
      <c r="C156" s="17" t="str">
        <f t="shared" si="13"/>
        <v>FCFS</v>
      </c>
      <c r="D156" s="14">
        <v>43831</v>
      </c>
      <c r="E156" s="14">
        <v>44196</v>
      </c>
      <c r="F156" s="20">
        <f t="shared" si="15"/>
        <v>365</v>
      </c>
      <c r="G156" s="15">
        <v>177000</v>
      </c>
      <c r="H156" s="5" t="s">
        <v>27</v>
      </c>
      <c r="I156" s="10">
        <v>3</v>
      </c>
      <c r="J156" s="10" t="s">
        <v>192</v>
      </c>
      <c r="K156" s="10">
        <v>90</v>
      </c>
      <c r="P156" s="5" t="str">
        <f t="shared" si="11"/>
        <v>IL</v>
      </c>
      <c r="Q156" s="10">
        <f t="shared" si="12"/>
        <v>0</v>
      </c>
    </row>
    <row r="157" spans="1:17" x14ac:dyDescent="0.2">
      <c r="A157" s="4" t="s">
        <v>683</v>
      </c>
      <c r="B157" s="17" t="str">
        <f t="shared" si="14"/>
        <v>143 Preferential tariff quota</v>
      </c>
      <c r="C157" s="17" t="str">
        <f t="shared" si="13"/>
        <v>FCFS</v>
      </c>
      <c r="D157" s="14">
        <v>43831</v>
      </c>
      <c r="E157" s="14">
        <v>44196</v>
      </c>
      <c r="F157" s="20">
        <f t="shared" si="15"/>
        <v>365</v>
      </c>
      <c r="G157" s="15">
        <v>2349000</v>
      </c>
      <c r="H157" s="5" t="s">
        <v>27</v>
      </c>
      <c r="I157" s="10">
        <v>3</v>
      </c>
      <c r="J157" s="10" t="s">
        <v>192</v>
      </c>
      <c r="K157" s="10">
        <v>90</v>
      </c>
      <c r="P157" s="5" t="str">
        <f t="shared" si="11"/>
        <v>IL</v>
      </c>
      <c r="Q157" s="10">
        <f t="shared" si="12"/>
        <v>0</v>
      </c>
    </row>
    <row r="158" spans="1:17" x14ac:dyDescent="0.2">
      <c r="A158" s="4" t="s">
        <v>684</v>
      </c>
      <c r="B158" s="17" t="str">
        <f t="shared" si="14"/>
        <v>143 Preferential tariff quota</v>
      </c>
      <c r="C158" s="17" t="str">
        <f t="shared" si="13"/>
        <v>FCFS</v>
      </c>
      <c r="D158" s="14">
        <v>43831</v>
      </c>
      <c r="E158" s="14">
        <v>44196</v>
      </c>
      <c r="F158" s="20">
        <f t="shared" si="15"/>
        <v>365</v>
      </c>
      <c r="G158" s="15">
        <v>3814000</v>
      </c>
      <c r="H158" s="5" t="s">
        <v>27</v>
      </c>
      <c r="I158" s="10">
        <v>3</v>
      </c>
      <c r="J158" s="10" t="s">
        <v>192</v>
      </c>
      <c r="K158" s="10">
        <v>90</v>
      </c>
      <c r="P158" s="5" t="str">
        <f t="shared" si="11"/>
        <v>IL</v>
      </c>
      <c r="Q158" s="10">
        <f t="shared" si="12"/>
        <v>0</v>
      </c>
    </row>
    <row r="159" spans="1:17" x14ac:dyDescent="0.2">
      <c r="A159" s="4" t="s">
        <v>685</v>
      </c>
      <c r="B159" s="17" t="str">
        <f t="shared" si="14"/>
        <v>143 Preferential tariff quota</v>
      </c>
      <c r="C159" s="17" t="str">
        <f t="shared" si="13"/>
        <v>FCFS</v>
      </c>
      <c r="D159" s="14">
        <v>43831</v>
      </c>
      <c r="E159" s="14">
        <v>44196</v>
      </c>
      <c r="F159" s="20">
        <f t="shared" si="15"/>
        <v>365</v>
      </c>
      <c r="G159" s="15">
        <v>3023000</v>
      </c>
      <c r="H159" s="5" t="s">
        <v>27</v>
      </c>
      <c r="I159" s="10">
        <v>3</v>
      </c>
      <c r="J159" s="10" t="s">
        <v>192</v>
      </c>
      <c r="K159" s="10">
        <v>90</v>
      </c>
      <c r="P159" s="5" t="str">
        <f t="shared" si="11"/>
        <v>IL</v>
      </c>
      <c r="Q159" s="10">
        <f t="shared" si="12"/>
        <v>0</v>
      </c>
    </row>
    <row r="160" spans="1:17" x14ac:dyDescent="0.2">
      <c r="A160" s="4" t="s">
        <v>686</v>
      </c>
      <c r="B160" s="17" t="str">
        <f t="shared" si="14"/>
        <v>143 Preferential tariff quota</v>
      </c>
      <c r="C160" s="17" t="str">
        <f t="shared" si="13"/>
        <v>FCFS</v>
      </c>
      <c r="D160" s="14">
        <v>43831</v>
      </c>
      <c r="E160" s="14">
        <v>44196</v>
      </c>
      <c r="F160" s="20">
        <f t="shared" si="15"/>
        <v>365</v>
      </c>
      <c r="G160" s="15">
        <v>30509000</v>
      </c>
      <c r="H160" s="5" t="s">
        <v>27</v>
      </c>
      <c r="I160" s="10">
        <v>3</v>
      </c>
      <c r="J160" s="10" t="s">
        <v>192</v>
      </c>
      <c r="K160" s="10">
        <v>90</v>
      </c>
      <c r="P160" s="5" t="str">
        <f t="shared" si="11"/>
        <v>IL</v>
      </c>
      <c r="Q160" s="10">
        <f t="shared" si="12"/>
        <v>0</v>
      </c>
    </row>
    <row r="161" spans="1:17" x14ac:dyDescent="0.2">
      <c r="A161" s="4" t="s">
        <v>687</v>
      </c>
      <c r="B161" s="17" t="str">
        <f t="shared" si="14"/>
        <v>143 Preferential tariff quota</v>
      </c>
      <c r="C161" s="17" t="str">
        <f t="shared" si="13"/>
        <v>FCFS</v>
      </c>
      <c r="D161" s="14">
        <v>43831</v>
      </c>
      <c r="E161" s="14">
        <v>44196</v>
      </c>
      <c r="F161" s="20">
        <f t="shared" si="15"/>
        <v>365</v>
      </c>
      <c r="G161" s="15">
        <v>4767000</v>
      </c>
      <c r="H161" s="5" t="s">
        <v>27</v>
      </c>
      <c r="I161" s="10">
        <v>3</v>
      </c>
      <c r="J161" s="10" t="s">
        <v>192</v>
      </c>
      <c r="K161" s="10">
        <v>90</v>
      </c>
      <c r="P161" s="5" t="str">
        <f t="shared" si="11"/>
        <v>IL</v>
      </c>
      <c r="Q161" s="10">
        <f t="shared" si="12"/>
        <v>0</v>
      </c>
    </row>
    <row r="162" spans="1:17" x14ac:dyDescent="0.2">
      <c r="A162" s="4" t="s">
        <v>688</v>
      </c>
      <c r="B162" s="17" t="str">
        <f t="shared" si="14"/>
        <v>143 Preferential tariff quota</v>
      </c>
      <c r="C162" s="17" t="str">
        <f t="shared" si="13"/>
        <v>FCFS</v>
      </c>
      <c r="D162" s="14">
        <v>43831</v>
      </c>
      <c r="E162" s="14">
        <v>44196</v>
      </c>
      <c r="F162" s="20">
        <f t="shared" si="15"/>
        <v>365</v>
      </c>
      <c r="G162" s="15">
        <v>2898000</v>
      </c>
      <c r="H162" s="5" t="s">
        <v>27</v>
      </c>
      <c r="I162" s="10">
        <v>3</v>
      </c>
      <c r="J162" s="10" t="s">
        <v>192</v>
      </c>
      <c r="K162" s="10">
        <v>90</v>
      </c>
      <c r="P162" s="5" t="str">
        <f t="shared" si="11"/>
        <v>IL</v>
      </c>
      <c r="Q162" s="10">
        <f t="shared" si="12"/>
        <v>0</v>
      </c>
    </row>
    <row r="163" spans="1:17" x14ac:dyDescent="0.2">
      <c r="A163" s="4" t="s">
        <v>689</v>
      </c>
      <c r="B163" s="17" t="str">
        <f t="shared" si="14"/>
        <v>143 Preferential tariff quota</v>
      </c>
      <c r="C163" s="17" t="str">
        <f t="shared" si="13"/>
        <v>FCFS</v>
      </c>
      <c r="D163" s="19">
        <v>43770</v>
      </c>
      <c r="E163" s="19">
        <v>43936</v>
      </c>
      <c r="F163" s="20">
        <f t="shared" si="15"/>
        <v>166</v>
      </c>
      <c r="G163" s="15">
        <v>1068000</v>
      </c>
      <c r="H163" s="5" t="s">
        <v>27</v>
      </c>
      <c r="I163" s="10">
        <v>3</v>
      </c>
      <c r="J163" s="10" t="s">
        <v>192</v>
      </c>
      <c r="K163" s="10">
        <v>90</v>
      </c>
      <c r="P163" s="5" t="str">
        <f t="shared" si="11"/>
        <v>IL</v>
      </c>
      <c r="Q163" s="10">
        <f t="shared" si="12"/>
        <v>0</v>
      </c>
    </row>
    <row r="164" spans="1:17" x14ac:dyDescent="0.2">
      <c r="A164" s="4" t="s">
        <v>690</v>
      </c>
      <c r="B164" s="17" t="str">
        <f t="shared" si="14"/>
        <v>143 Preferential tariff quota</v>
      </c>
      <c r="C164" s="17" t="str">
        <f t="shared" si="13"/>
        <v>FCFS</v>
      </c>
      <c r="D164" s="14">
        <v>43831</v>
      </c>
      <c r="E164" s="14">
        <v>44196</v>
      </c>
      <c r="F164" s="20">
        <f t="shared" si="15"/>
        <v>365</v>
      </c>
      <c r="G164" s="15">
        <v>681000</v>
      </c>
      <c r="H164" s="5" t="s">
        <v>27</v>
      </c>
      <c r="I164" s="10">
        <v>3</v>
      </c>
      <c r="J164" s="10" t="s">
        <v>192</v>
      </c>
      <c r="K164" s="10">
        <v>90</v>
      </c>
      <c r="P164" s="5" t="str">
        <f t="shared" si="11"/>
        <v>IL</v>
      </c>
      <c r="Q164" s="10">
        <f t="shared" si="12"/>
        <v>0</v>
      </c>
    </row>
    <row r="165" spans="1:17" x14ac:dyDescent="0.2">
      <c r="A165" s="4" t="s">
        <v>691</v>
      </c>
      <c r="B165" s="17" t="str">
        <f t="shared" si="14"/>
        <v>143 Preferential tariff quota</v>
      </c>
      <c r="C165" s="17" t="str">
        <f t="shared" si="13"/>
        <v>FCFS</v>
      </c>
      <c r="D165" s="14">
        <v>43831</v>
      </c>
      <c r="E165" s="14">
        <v>44196</v>
      </c>
      <c r="F165" s="20">
        <f t="shared" si="15"/>
        <v>365</v>
      </c>
      <c r="G165" s="15">
        <v>1444000</v>
      </c>
      <c r="H165" s="5" t="s">
        <v>27</v>
      </c>
      <c r="I165" s="10">
        <v>3</v>
      </c>
      <c r="J165" s="10" t="s">
        <v>192</v>
      </c>
      <c r="K165" s="10">
        <v>90</v>
      </c>
      <c r="P165" s="5" t="str">
        <f t="shared" si="11"/>
        <v>IL</v>
      </c>
      <c r="Q165" s="10">
        <f t="shared" si="12"/>
        <v>0</v>
      </c>
    </row>
    <row r="166" spans="1:17" x14ac:dyDescent="0.2">
      <c r="A166" s="4" t="s">
        <v>692</v>
      </c>
      <c r="B166" s="17" t="str">
        <f t="shared" si="14"/>
        <v>143 Preferential tariff quota</v>
      </c>
      <c r="C166" s="17" t="str">
        <f t="shared" si="13"/>
        <v>FCFS</v>
      </c>
      <c r="D166" s="14">
        <v>43831</v>
      </c>
      <c r="E166" s="14">
        <v>44196</v>
      </c>
      <c r="F166" s="20">
        <f t="shared" si="15"/>
        <v>365</v>
      </c>
      <c r="G166" s="15">
        <v>735000</v>
      </c>
      <c r="H166" s="5" t="s">
        <v>27</v>
      </c>
      <c r="I166" s="10">
        <v>3</v>
      </c>
      <c r="J166" s="10" t="s">
        <v>192</v>
      </c>
      <c r="K166" s="10">
        <v>90</v>
      </c>
      <c r="P166" s="5" t="str">
        <f t="shared" si="11"/>
        <v>IL</v>
      </c>
      <c r="Q166" s="10">
        <f t="shared" si="12"/>
        <v>0</v>
      </c>
    </row>
    <row r="167" spans="1:17" x14ac:dyDescent="0.2">
      <c r="A167" s="4" t="s">
        <v>693</v>
      </c>
      <c r="B167" s="17" t="str">
        <f t="shared" si="14"/>
        <v>143 Preferential tariff quota</v>
      </c>
      <c r="C167" s="17" t="str">
        <f t="shared" si="13"/>
        <v>FCFS</v>
      </c>
      <c r="D167" s="14">
        <v>43831</v>
      </c>
      <c r="E167" s="14">
        <v>44196</v>
      </c>
      <c r="F167" s="20">
        <f t="shared" si="15"/>
        <v>365</v>
      </c>
      <c r="G167" s="15">
        <v>17695</v>
      </c>
      <c r="H167" s="5" t="s">
        <v>47</v>
      </c>
      <c r="I167" s="10">
        <v>3</v>
      </c>
      <c r="J167" s="10" t="s">
        <v>192</v>
      </c>
      <c r="K167" s="10">
        <v>90</v>
      </c>
      <c r="P167" s="5" t="str">
        <f t="shared" si="11"/>
        <v>IL</v>
      </c>
      <c r="Q167" s="10">
        <f t="shared" si="12"/>
        <v>0</v>
      </c>
    </row>
    <row r="168" spans="1:17" x14ac:dyDescent="0.2">
      <c r="A168" s="4" t="s">
        <v>694</v>
      </c>
      <c r="B168" s="17" t="str">
        <f t="shared" si="14"/>
        <v>143 Preferential tariff quota</v>
      </c>
      <c r="C168" s="17" t="str">
        <f t="shared" si="13"/>
        <v>FCFS</v>
      </c>
      <c r="D168" s="14">
        <v>43831</v>
      </c>
      <c r="E168" s="14">
        <v>44196</v>
      </c>
      <c r="F168" s="20">
        <f t="shared" si="15"/>
        <v>365</v>
      </c>
      <c r="G168" s="15">
        <v>136000</v>
      </c>
      <c r="H168" s="5" t="s">
        <v>27</v>
      </c>
      <c r="I168" s="10">
        <v>3</v>
      </c>
      <c r="J168" s="10" t="s">
        <v>192</v>
      </c>
      <c r="K168" s="10">
        <v>90</v>
      </c>
      <c r="P168" s="5" t="str">
        <f t="shared" si="11"/>
        <v>IL</v>
      </c>
      <c r="Q168" s="10">
        <f t="shared" si="12"/>
        <v>0</v>
      </c>
    </row>
    <row r="169" spans="1:17" x14ac:dyDescent="0.2">
      <c r="A169" s="4" t="s">
        <v>695</v>
      </c>
      <c r="B169" s="17" t="str">
        <f t="shared" si="14"/>
        <v>143 Preferential tariff quota</v>
      </c>
      <c r="C169" s="17" t="str">
        <f t="shared" si="13"/>
        <v>FCFS</v>
      </c>
      <c r="D169" s="14">
        <v>43831</v>
      </c>
      <c r="E169" s="14">
        <v>44196</v>
      </c>
      <c r="F169" s="20">
        <f t="shared" si="15"/>
        <v>365</v>
      </c>
      <c r="G169" s="15">
        <v>163000</v>
      </c>
      <c r="H169" s="5" t="s">
        <v>27</v>
      </c>
      <c r="I169" s="10">
        <v>3</v>
      </c>
      <c r="J169" s="10" t="s">
        <v>192</v>
      </c>
      <c r="K169" s="10">
        <v>90</v>
      </c>
      <c r="P169" s="5" t="str">
        <f t="shared" si="11"/>
        <v>IL</v>
      </c>
      <c r="Q169" s="10">
        <f t="shared" si="12"/>
        <v>0</v>
      </c>
    </row>
    <row r="170" spans="1:17" x14ac:dyDescent="0.2">
      <c r="A170" s="4" t="s">
        <v>696</v>
      </c>
      <c r="B170" s="17" t="str">
        <f t="shared" si="14"/>
        <v>143 Preferential tariff quota</v>
      </c>
      <c r="C170" s="17" t="str">
        <f t="shared" si="13"/>
        <v>FCFS</v>
      </c>
      <c r="D170" s="14">
        <v>43831</v>
      </c>
      <c r="E170" s="14">
        <v>44196</v>
      </c>
      <c r="F170" s="20">
        <f t="shared" si="15"/>
        <v>365</v>
      </c>
      <c r="G170" s="15">
        <v>5448000</v>
      </c>
      <c r="H170" s="5" t="s">
        <v>27</v>
      </c>
      <c r="I170" s="10">
        <v>3</v>
      </c>
      <c r="J170" s="10" t="s">
        <v>192</v>
      </c>
      <c r="K170" s="10">
        <v>90</v>
      </c>
      <c r="P170" s="5" t="str">
        <f t="shared" si="11"/>
        <v>IL</v>
      </c>
      <c r="Q170" s="10">
        <f t="shared" si="12"/>
        <v>0</v>
      </c>
    </row>
    <row r="171" spans="1:17" x14ac:dyDescent="0.2">
      <c r="A171" s="4" t="s">
        <v>697</v>
      </c>
      <c r="B171" s="17" t="str">
        <f t="shared" si="14"/>
        <v>143 Preferential tariff quota</v>
      </c>
      <c r="C171" s="17" t="str">
        <f t="shared" si="13"/>
        <v>FCFS</v>
      </c>
      <c r="D171" s="19">
        <v>43905</v>
      </c>
      <c r="E171" s="19">
        <v>44104</v>
      </c>
      <c r="F171" s="20">
        <f t="shared" si="15"/>
        <v>199</v>
      </c>
      <c r="G171" s="15">
        <v>2136000</v>
      </c>
      <c r="H171" s="5" t="s">
        <v>27</v>
      </c>
      <c r="I171" s="10">
        <v>3</v>
      </c>
      <c r="J171" s="10" t="s">
        <v>192</v>
      </c>
      <c r="K171" s="10">
        <v>90</v>
      </c>
      <c r="P171" s="5" t="str">
        <f t="shared" si="11"/>
        <v>IL</v>
      </c>
      <c r="Q171" s="10">
        <f t="shared" si="12"/>
        <v>0</v>
      </c>
    </row>
    <row r="172" spans="1:17" x14ac:dyDescent="0.2">
      <c r="A172" s="4" t="s">
        <v>698</v>
      </c>
      <c r="B172" s="17" t="str">
        <f t="shared" si="14"/>
        <v>143 Preferential tariff quota</v>
      </c>
      <c r="C172" s="17" t="str">
        <f t="shared" si="13"/>
        <v>FCFS</v>
      </c>
      <c r="D172" s="14">
        <v>43831</v>
      </c>
      <c r="E172" s="14">
        <v>44196</v>
      </c>
      <c r="F172" s="20">
        <f t="shared" si="15"/>
        <v>365</v>
      </c>
      <c r="G172" s="15">
        <v>681000</v>
      </c>
      <c r="H172" s="5" t="s">
        <v>27</v>
      </c>
      <c r="I172" s="10">
        <v>3</v>
      </c>
      <c r="J172" s="10" t="s">
        <v>192</v>
      </c>
      <c r="K172" s="10">
        <v>90</v>
      </c>
      <c r="P172" s="5" t="str">
        <f t="shared" si="11"/>
        <v>IL</v>
      </c>
      <c r="Q172" s="10">
        <f t="shared" si="12"/>
        <v>0</v>
      </c>
    </row>
    <row r="173" spans="1:17" x14ac:dyDescent="0.2">
      <c r="A173" s="4" t="s">
        <v>699</v>
      </c>
      <c r="B173" s="17" t="str">
        <f t="shared" si="14"/>
        <v>143 Preferential tariff quota</v>
      </c>
      <c r="C173" s="17" t="str">
        <f t="shared" si="13"/>
        <v>FCFS</v>
      </c>
      <c r="D173" s="14">
        <v>43831</v>
      </c>
      <c r="E173" s="14">
        <v>44196</v>
      </c>
      <c r="F173" s="20">
        <f t="shared" si="15"/>
        <v>365</v>
      </c>
      <c r="G173" s="15">
        <v>272000</v>
      </c>
      <c r="H173" s="5" t="s">
        <v>27</v>
      </c>
      <c r="I173" s="10">
        <v>3</v>
      </c>
      <c r="J173" s="10" t="s">
        <v>192</v>
      </c>
      <c r="K173" s="10">
        <v>90</v>
      </c>
      <c r="P173" s="5" t="str">
        <f t="shared" si="11"/>
        <v>IL</v>
      </c>
      <c r="Q173" s="10">
        <f t="shared" si="12"/>
        <v>0</v>
      </c>
    </row>
    <row r="174" spans="1:17" x14ac:dyDescent="0.2">
      <c r="A174" s="4" t="s">
        <v>700</v>
      </c>
      <c r="B174" s="17" t="str">
        <f t="shared" si="14"/>
        <v>143 Preferential tariff quota</v>
      </c>
      <c r="C174" s="17" t="str">
        <f t="shared" si="13"/>
        <v>FCFS</v>
      </c>
      <c r="D174" s="14">
        <v>43831</v>
      </c>
      <c r="E174" s="14">
        <v>44196</v>
      </c>
      <c r="F174" s="20">
        <f t="shared" si="15"/>
        <v>365</v>
      </c>
      <c r="G174" s="15">
        <v>14000</v>
      </c>
      <c r="H174" s="5" t="s">
        <v>27</v>
      </c>
      <c r="I174" s="10">
        <v>3</v>
      </c>
      <c r="J174" s="10" t="s">
        <v>192</v>
      </c>
      <c r="K174" s="10">
        <v>90</v>
      </c>
      <c r="P174" s="5" t="str">
        <f t="shared" si="11"/>
        <v>IL</v>
      </c>
      <c r="Q174" s="10">
        <f t="shared" si="12"/>
        <v>0</v>
      </c>
    </row>
    <row r="175" spans="1:17" x14ac:dyDescent="0.2">
      <c r="A175" s="4" t="s">
        <v>701</v>
      </c>
      <c r="B175" s="17" t="str">
        <f t="shared" si="14"/>
        <v>143 Preferential tariff quota</v>
      </c>
      <c r="C175" s="17" t="str">
        <f t="shared" si="13"/>
        <v>FCFS</v>
      </c>
      <c r="D175" s="14">
        <v>43831</v>
      </c>
      <c r="E175" s="14">
        <v>44196</v>
      </c>
      <c r="F175" s="20">
        <f t="shared" si="15"/>
        <v>365</v>
      </c>
      <c r="G175" s="15">
        <v>341000</v>
      </c>
      <c r="H175" s="5" t="s">
        <v>27</v>
      </c>
      <c r="I175" s="10">
        <v>3</v>
      </c>
      <c r="J175" s="10" t="s">
        <v>192</v>
      </c>
      <c r="K175" s="10">
        <v>90</v>
      </c>
      <c r="P175" s="5" t="str">
        <f t="shared" si="11"/>
        <v>IL</v>
      </c>
      <c r="Q175" s="10">
        <f t="shared" si="12"/>
        <v>0</v>
      </c>
    </row>
    <row r="176" spans="1:17" x14ac:dyDescent="0.2">
      <c r="A176" s="4" t="s">
        <v>702</v>
      </c>
      <c r="B176" s="17" t="str">
        <f t="shared" si="14"/>
        <v>143 Preferential tariff quota</v>
      </c>
      <c r="C176" s="17" t="str">
        <f t="shared" si="13"/>
        <v>FCFS</v>
      </c>
      <c r="D176" s="14">
        <v>43831</v>
      </c>
      <c r="E176" s="14">
        <v>44196</v>
      </c>
      <c r="F176" s="20">
        <f t="shared" si="15"/>
        <v>365</v>
      </c>
      <c r="G176" s="15">
        <v>436000</v>
      </c>
      <c r="H176" s="5" t="s">
        <v>27</v>
      </c>
      <c r="I176" s="10">
        <v>3</v>
      </c>
      <c r="J176" s="10" t="s">
        <v>192</v>
      </c>
      <c r="K176" s="10">
        <v>90</v>
      </c>
      <c r="P176" s="5" t="str">
        <f t="shared" si="11"/>
        <v>IL</v>
      </c>
      <c r="Q176" s="10">
        <f t="shared" si="12"/>
        <v>0</v>
      </c>
    </row>
    <row r="177" spans="1:17" x14ac:dyDescent="0.2">
      <c r="A177" s="4" t="s">
        <v>703</v>
      </c>
      <c r="B177" s="17" t="str">
        <f t="shared" si="14"/>
        <v>143 Preferential tariff quota</v>
      </c>
      <c r="C177" s="17" t="str">
        <f t="shared" si="13"/>
        <v>FCFS</v>
      </c>
      <c r="D177" s="14">
        <v>43831</v>
      </c>
      <c r="E177" s="14">
        <v>44196</v>
      </c>
      <c r="F177" s="20">
        <f t="shared" si="15"/>
        <v>365</v>
      </c>
      <c r="G177" s="15">
        <v>107000</v>
      </c>
      <c r="H177" s="5" t="s">
        <v>27</v>
      </c>
      <c r="I177" s="10">
        <v>3</v>
      </c>
      <c r="J177" s="10" t="s">
        <v>192</v>
      </c>
      <c r="K177" s="10">
        <v>90</v>
      </c>
      <c r="P177" s="5" t="str">
        <f t="shared" si="11"/>
        <v>IL</v>
      </c>
      <c r="Q177" s="10">
        <f t="shared" si="12"/>
        <v>0</v>
      </c>
    </row>
    <row r="178" spans="1:17" x14ac:dyDescent="0.2">
      <c r="A178" s="4" t="s">
        <v>704</v>
      </c>
      <c r="B178" s="17" t="str">
        <f t="shared" si="14"/>
        <v>143 Preferential tariff quota</v>
      </c>
      <c r="C178" s="17" t="str">
        <f t="shared" si="13"/>
        <v>FCFS</v>
      </c>
      <c r="D178" s="14">
        <v>43831</v>
      </c>
      <c r="E178" s="14">
        <v>44196</v>
      </c>
      <c r="F178" s="20">
        <f t="shared" si="15"/>
        <v>365</v>
      </c>
      <c r="G178" s="15">
        <v>15000</v>
      </c>
      <c r="H178" s="5" t="s">
        <v>27</v>
      </c>
      <c r="I178" s="10">
        <v>3</v>
      </c>
      <c r="J178" s="10" t="s">
        <v>192</v>
      </c>
      <c r="K178" s="10">
        <v>90</v>
      </c>
      <c r="P178" s="5" t="str">
        <f t="shared" si="11"/>
        <v>IL</v>
      </c>
      <c r="Q178" s="10">
        <f t="shared" si="12"/>
        <v>0</v>
      </c>
    </row>
    <row r="179" spans="1:17" x14ac:dyDescent="0.2">
      <c r="A179" s="4" t="s">
        <v>705</v>
      </c>
      <c r="B179" s="17" t="str">
        <f t="shared" si="14"/>
        <v>143 Preferential tariff quota</v>
      </c>
      <c r="C179" s="17" t="str">
        <f t="shared" si="13"/>
        <v>FCFS</v>
      </c>
      <c r="D179" s="14">
        <v>43831</v>
      </c>
      <c r="E179" s="14">
        <v>44196</v>
      </c>
      <c r="F179" s="20">
        <f t="shared" si="15"/>
        <v>365</v>
      </c>
      <c r="G179" s="15">
        <v>2677000</v>
      </c>
      <c r="H179" s="5" t="s">
        <v>27</v>
      </c>
      <c r="I179" s="10">
        <v>3</v>
      </c>
      <c r="J179" s="10" t="s">
        <v>192</v>
      </c>
      <c r="K179" s="10">
        <v>90</v>
      </c>
      <c r="P179" s="5" t="str">
        <f t="shared" si="11"/>
        <v>IL</v>
      </c>
      <c r="Q179" s="10">
        <f t="shared" si="12"/>
        <v>0</v>
      </c>
    </row>
    <row r="180" spans="1:17" x14ac:dyDescent="0.2">
      <c r="A180" s="4" t="s">
        <v>706</v>
      </c>
      <c r="B180" s="17" t="str">
        <f t="shared" si="14"/>
        <v>143 Preferential tariff quota</v>
      </c>
      <c r="C180" s="17" t="str">
        <f t="shared" si="13"/>
        <v>FCFS</v>
      </c>
      <c r="D180" s="14">
        <v>43831</v>
      </c>
      <c r="E180" s="14">
        <v>44196</v>
      </c>
      <c r="F180" s="20">
        <f t="shared" si="15"/>
        <v>365</v>
      </c>
      <c r="G180" s="15">
        <v>121600</v>
      </c>
      <c r="H180" s="5" t="s">
        <v>40</v>
      </c>
      <c r="I180" s="10">
        <v>3</v>
      </c>
      <c r="J180" s="10" t="s">
        <v>192</v>
      </c>
      <c r="K180" s="10">
        <v>90</v>
      </c>
      <c r="P180" s="5" t="str">
        <f t="shared" si="11"/>
        <v>IL</v>
      </c>
      <c r="Q180" s="10">
        <f t="shared" si="12"/>
        <v>0</v>
      </c>
    </row>
    <row r="181" spans="1:17" x14ac:dyDescent="0.2">
      <c r="A181" s="4" t="s">
        <v>707</v>
      </c>
      <c r="B181" s="17" t="str">
        <f t="shared" si="14"/>
        <v>143 Preferential tariff quota</v>
      </c>
      <c r="C181" s="17" t="str">
        <f t="shared" si="13"/>
        <v>FCFS</v>
      </c>
      <c r="D181" s="19">
        <v>43678</v>
      </c>
      <c r="E181" s="19">
        <v>43982</v>
      </c>
      <c r="F181" s="20">
        <f t="shared" si="15"/>
        <v>304</v>
      </c>
      <c r="G181" s="15">
        <v>4086000</v>
      </c>
      <c r="H181" s="5" t="s">
        <v>27</v>
      </c>
      <c r="I181" s="10">
        <v>3</v>
      </c>
      <c r="J181" s="10" t="s">
        <v>192</v>
      </c>
      <c r="K181" s="10">
        <v>90</v>
      </c>
      <c r="P181" s="5" t="str">
        <f t="shared" si="11"/>
        <v>IL</v>
      </c>
      <c r="Q181" s="10">
        <f t="shared" si="12"/>
        <v>0</v>
      </c>
    </row>
    <row r="182" spans="1:17" x14ac:dyDescent="0.2">
      <c r="A182" s="4" t="s">
        <v>708</v>
      </c>
      <c r="B182" s="17" t="str">
        <f t="shared" si="14"/>
        <v>143 Preferential tariff quota</v>
      </c>
      <c r="C182" s="17" t="str">
        <f t="shared" si="13"/>
        <v>FCFS</v>
      </c>
      <c r="D182" s="19">
        <v>43770</v>
      </c>
      <c r="E182" s="19">
        <v>43951</v>
      </c>
      <c r="F182" s="20">
        <f t="shared" si="15"/>
        <v>181</v>
      </c>
      <c r="G182" s="15">
        <v>681000</v>
      </c>
      <c r="H182" s="5" t="s">
        <v>27</v>
      </c>
      <c r="I182" s="10">
        <v>3</v>
      </c>
      <c r="J182" s="10" t="s">
        <v>192</v>
      </c>
      <c r="K182" s="10">
        <v>90</v>
      </c>
      <c r="P182" s="5" t="str">
        <f t="shared" si="11"/>
        <v>IL</v>
      </c>
      <c r="Q182" s="10">
        <f t="shared" si="12"/>
        <v>0</v>
      </c>
    </row>
    <row r="183" spans="1:17" x14ac:dyDescent="0.2">
      <c r="A183" s="4" t="s">
        <v>709</v>
      </c>
      <c r="B183" s="17" t="str">
        <f t="shared" si="14"/>
        <v>143 Preferential tariff quota</v>
      </c>
      <c r="C183" s="17" t="str">
        <f t="shared" si="13"/>
        <v>FCFS</v>
      </c>
      <c r="D183" s="14">
        <v>43831</v>
      </c>
      <c r="E183" s="14">
        <v>44196</v>
      </c>
      <c r="F183" s="20">
        <f t="shared" si="15"/>
        <v>365</v>
      </c>
      <c r="G183" s="15">
        <v>34000</v>
      </c>
      <c r="H183" s="5" t="s">
        <v>27</v>
      </c>
      <c r="I183" s="10">
        <v>3</v>
      </c>
      <c r="J183" s="10" t="s">
        <v>192</v>
      </c>
      <c r="K183" s="10">
        <v>90</v>
      </c>
      <c r="P183" s="5" t="str">
        <f t="shared" si="11"/>
        <v>IL</v>
      </c>
      <c r="Q183" s="10">
        <f t="shared" si="12"/>
        <v>0</v>
      </c>
    </row>
    <row r="184" spans="1:17" x14ac:dyDescent="0.2">
      <c r="A184" s="4" t="s">
        <v>710</v>
      </c>
      <c r="B184" s="17" t="str">
        <f t="shared" si="14"/>
        <v>143 Preferential tariff quota</v>
      </c>
      <c r="C184" s="17" t="str">
        <f t="shared" ref="C184:C185" si="16">IF(LEFT(A184,3)="094","Licensed","FCFS")</f>
        <v>Licensed</v>
      </c>
      <c r="D184" s="14">
        <v>43831</v>
      </c>
      <c r="E184" s="14">
        <v>44196</v>
      </c>
      <c r="F184" s="20">
        <f t="shared" ref="F184:F185" si="17">DATEDIF(D184, E184, "d")</f>
        <v>365</v>
      </c>
      <c r="G184" s="15">
        <v>545000</v>
      </c>
      <c r="H184" s="5" t="s">
        <v>27</v>
      </c>
      <c r="I184" s="10">
        <v>3</v>
      </c>
      <c r="J184" s="10" t="s">
        <v>192</v>
      </c>
      <c r="K184" s="10">
        <v>90</v>
      </c>
      <c r="P184" s="5" t="str">
        <f t="shared" si="11"/>
        <v>IL</v>
      </c>
      <c r="Q184" s="10">
        <f t="shared" si="12"/>
        <v>0</v>
      </c>
    </row>
    <row r="185" spans="1:17" x14ac:dyDescent="0.2">
      <c r="A185" s="4" t="s">
        <v>711</v>
      </c>
      <c r="B185" s="17" t="str">
        <f t="shared" si="14"/>
        <v>143 Preferential tariff quota</v>
      </c>
      <c r="C185" s="17" t="str">
        <f t="shared" si="16"/>
        <v>Licensed</v>
      </c>
      <c r="D185" s="14">
        <v>43831</v>
      </c>
      <c r="E185" s="14">
        <v>44196</v>
      </c>
      <c r="F185" s="20">
        <f t="shared" si="17"/>
        <v>365</v>
      </c>
      <c r="G185" s="15">
        <v>76000</v>
      </c>
      <c r="H185" s="5" t="s">
        <v>27</v>
      </c>
      <c r="I185" s="10">
        <v>3</v>
      </c>
      <c r="J185" s="10" t="s">
        <v>192</v>
      </c>
      <c r="K185" s="10">
        <v>90</v>
      </c>
      <c r="P185" s="5" t="str">
        <f t="shared" si="11"/>
        <v>IL</v>
      </c>
      <c r="Q185" s="10">
        <f t="shared" si="12"/>
        <v>0</v>
      </c>
    </row>
    <row r="186" spans="1:17" x14ac:dyDescent="0.2">
      <c r="A186" s="4" t="s">
        <v>715</v>
      </c>
      <c r="B186" s="17" t="str">
        <f t="shared" si="14"/>
        <v>143 Preferential tariff quota</v>
      </c>
      <c r="C186" s="17" t="str">
        <f t="shared" si="13"/>
        <v>FCFS</v>
      </c>
      <c r="D186" s="14">
        <v>43568</v>
      </c>
      <c r="E186" s="14">
        <v>43830</v>
      </c>
      <c r="F186" s="20">
        <f t="shared" si="15"/>
        <v>262</v>
      </c>
      <c r="G186" s="15">
        <v>4539000</v>
      </c>
      <c r="H186" s="5" t="s">
        <v>27</v>
      </c>
      <c r="I186" s="10">
        <v>3</v>
      </c>
      <c r="J186" s="10" t="s">
        <v>192</v>
      </c>
      <c r="K186" s="10">
        <v>90</v>
      </c>
      <c r="P186" s="5" t="str">
        <f t="shared" si="11"/>
        <v>1034</v>
      </c>
      <c r="Q186" s="10">
        <f t="shared" si="12"/>
        <v>0</v>
      </c>
    </row>
    <row r="187" spans="1:17" x14ac:dyDescent="0.2">
      <c r="A187" s="4" t="s">
        <v>715</v>
      </c>
      <c r="B187" s="17" t="str">
        <f t="shared" si="14"/>
        <v>143 Preferential tariff quota</v>
      </c>
      <c r="C187" s="17" t="str">
        <f t="shared" si="13"/>
        <v>FCFS</v>
      </c>
      <c r="D187" s="14">
        <v>43831</v>
      </c>
      <c r="E187" s="14">
        <v>44196</v>
      </c>
      <c r="F187" s="20">
        <f t="shared" si="15"/>
        <v>365</v>
      </c>
      <c r="G187" s="15">
        <v>6300000</v>
      </c>
      <c r="H187" s="5" t="s">
        <v>27</v>
      </c>
      <c r="I187" s="10">
        <v>3</v>
      </c>
      <c r="J187" s="10" t="s">
        <v>192</v>
      </c>
      <c r="K187" s="10">
        <v>90</v>
      </c>
      <c r="P187" s="5" t="str">
        <f t="shared" si="11"/>
        <v>1034</v>
      </c>
      <c r="Q187" s="10">
        <f t="shared" si="12"/>
        <v>0</v>
      </c>
    </row>
    <row r="188" spans="1:17" x14ac:dyDescent="0.2">
      <c r="A188" s="4" t="s">
        <v>716</v>
      </c>
      <c r="B188" s="17" t="str">
        <f t="shared" si="14"/>
        <v>143 Preferential tariff quota</v>
      </c>
      <c r="C188" s="17" t="str">
        <f t="shared" si="13"/>
        <v>FCFS</v>
      </c>
      <c r="D188" s="14">
        <v>43568</v>
      </c>
      <c r="E188" s="14">
        <v>43830</v>
      </c>
      <c r="F188" s="20">
        <f t="shared" si="15"/>
        <v>262</v>
      </c>
      <c r="G188" s="15">
        <v>245000</v>
      </c>
      <c r="H188" s="5" t="s">
        <v>27</v>
      </c>
      <c r="I188" s="10">
        <v>3</v>
      </c>
      <c r="J188" s="10" t="s">
        <v>192</v>
      </c>
      <c r="K188" s="10">
        <v>90</v>
      </c>
      <c r="P188" s="5" t="str">
        <f t="shared" si="11"/>
        <v>1034</v>
      </c>
      <c r="Q188" s="10">
        <f t="shared" si="12"/>
        <v>0</v>
      </c>
    </row>
    <row r="189" spans="1:17" x14ac:dyDescent="0.2">
      <c r="A189" s="4" t="s">
        <v>716</v>
      </c>
      <c r="B189" s="17" t="str">
        <f t="shared" si="14"/>
        <v>143 Preferential tariff quota</v>
      </c>
      <c r="C189" s="17" t="str">
        <f t="shared" si="13"/>
        <v>FCFS</v>
      </c>
      <c r="D189" s="14">
        <v>43831</v>
      </c>
      <c r="E189" s="14">
        <v>44196</v>
      </c>
      <c r="F189" s="20">
        <f t="shared" si="15"/>
        <v>365</v>
      </c>
      <c r="G189" s="15">
        <v>340000</v>
      </c>
      <c r="H189" s="5" t="s">
        <v>27</v>
      </c>
      <c r="I189" s="10">
        <v>3</v>
      </c>
      <c r="J189" s="10" t="s">
        <v>192</v>
      </c>
      <c r="K189" s="10">
        <v>90</v>
      </c>
      <c r="P189" s="5" t="str">
        <f t="shared" si="11"/>
        <v>1034</v>
      </c>
      <c r="Q189" s="10">
        <f t="shared" si="12"/>
        <v>0</v>
      </c>
    </row>
    <row r="190" spans="1:17" x14ac:dyDescent="0.2">
      <c r="A190" s="4" t="s">
        <v>727</v>
      </c>
      <c r="B190" s="17" t="str">
        <f t="shared" si="14"/>
        <v>143 Preferential tariff quota</v>
      </c>
      <c r="C190" s="17" t="str">
        <f t="shared" si="13"/>
        <v>FCFS</v>
      </c>
      <c r="D190" s="14">
        <v>43568</v>
      </c>
      <c r="E190" s="14">
        <v>43830</v>
      </c>
      <c r="F190" s="20">
        <f t="shared" si="15"/>
        <v>262</v>
      </c>
      <c r="G190" s="15">
        <v>5000</v>
      </c>
      <c r="H190" s="5" t="s">
        <v>27</v>
      </c>
      <c r="I190" s="10">
        <v>3</v>
      </c>
      <c r="J190" s="10" t="s">
        <v>192</v>
      </c>
      <c r="K190" s="10">
        <v>90</v>
      </c>
      <c r="P190" s="5" t="str">
        <f t="shared" si="11"/>
        <v>NO</v>
      </c>
      <c r="Q190" s="10">
        <f t="shared" si="12"/>
        <v>0</v>
      </c>
    </row>
    <row r="191" spans="1:17" x14ac:dyDescent="0.2">
      <c r="A191" s="4" t="s">
        <v>728</v>
      </c>
      <c r="B191" s="17" t="str">
        <f t="shared" si="14"/>
        <v>143 Preferential tariff quota</v>
      </c>
      <c r="C191" s="17" t="str">
        <f t="shared" si="13"/>
        <v>FCFS</v>
      </c>
      <c r="D191" s="14">
        <v>43568</v>
      </c>
      <c r="E191" s="14">
        <v>43830</v>
      </c>
      <c r="F191" s="20">
        <f t="shared" si="15"/>
        <v>262</v>
      </c>
      <c r="G191" s="15">
        <v>2000</v>
      </c>
      <c r="H191" s="5" t="s">
        <v>40</v>
      </c>
      <c r="I191" s="10">
        <v>3</v>
      </c>
      <c r="J191" s="10" t="s">
        <v>192</v>
      </c>
      <c r="K191" s="10">
        <v>90</v>
      </c>
      <c r="P191" s="5" t="str">
        <f t="shared" si="11"/>
        <v>NO</v>
      </c>
      <c r="Q191" s="10">
        <f t="shared" si="12"/>
        <v>0</v>
      </c>
    </row>
    <row r="192" spans="1:17" x14ac:dyDescent="0.2">
      <c r="A192" s="4" t="s">
        <v>729</v>
      </c>
      <c r="B192" s="17" t="str">
        <f t="shared" si="14"/>
        <v>143 Preferential tariff quota</v>
      </c>
      <c r="C192" s="17" t="str">
        <f t="shared" si="13"/>
        <v>FCFS</v>
      </c>
      <c r="D192" s="14">
        <v>43568</v>
      </c>
      <c r="E192" s="14">
        <v>43585</v>
      </c>
      <c r="F192" s="20">
        <f t="shared" si="15"/>
        <v>17</v>
      </c>
      <c r="G192" s="15">
        <v>28000</v>
      </c>
      <c r="H192" s="5" t="s">
        <v>27</v>
      </c>
      <c r="I192" s="10">
        <v>3</v>
      </c>
      <c r="J192" s="10" t="s">
        <v>192</v>
      </c>
      <c r="K192" s="10">
        <v>90</v>
      </c>
      <c r="P192" s="5" t="str">
        <f t="shared" si="11"/>
        <v>NO</v>
      </c>
      <c r="Q192" s="10">
        <f t="shared" si="12"/>
        <v>0</v>
      </c>
    </row>
    <row r="193" spans="1:17" x14ac:dyDescent="0.2">
      <c r="A193" s="4" t="s">
        <v>730</v>
      </c>
      <c r="B193" s="17" t="str">
        <f t="shared" si="14"/>
        <v>143 Preferential tariff quota</v>
      </c>
      <c r="C193" s="17" t="str">
        <f t="shared" si="13"/>
        <v>FCFS</v>
      </c>
      <c r="D193" s="14">
        <v>43568</v>
      </c>
      <c r="E193" s="14">
        <v>43585</v>
      </c>
      <c r="F193" s="20">
        <f t="shared" si="15"/>
        <v>17</v>
      </c>
      <c r="G193" s="15">
        <v>13000</v>
      </c>
      <c r="H193" s="5" t="s">
        <v>27</v>
      </c>
      <c r="I193" s="10">
        <v>3</v>
      </c>
      <c r="J193" s="10" t="s">
        <v>192</v>
      </c>
      <c r="K193" s="10">
        <v>90</v>
      </c>
      <c r="P193" s="5" t="str">
        <f t="shared" si="11"/>
        <v>NO</v>
      </c>
      <c r="Q193" s="10">
        <f t="shared" si="12"/>
        <v>0</v>
      </c>
    </row>
    <row r="194" spans="1:17" x14ac:dyDescent="0.2">
      <c r="A194" s="4" t="s">
        <v>731</v>
      </c>
      <c r="B194" s="17" t="str">
        <f t="shared" si="14"/>
        <v>143 Preferential tariff quota</v>
      </c>
      <c r="C194" s="17" t="str">
        <f t="shared" si="13"/>
        <v>FCFS</v>
      </c>
      <c r="D194" s="14">
        <v>43568</v>
      </c>
      <c r="E194" s="14">
        <v>43585</v>
      </c>
      <c r="F194" s="20">
        <f t="shared" si="15"/>
        <v>17</v>
      </c>
      <c r="G194" s="15">
        <v>7000</v>
      </c>
      <c r="H194" s="5" t="s">
        <v>27</v>
      </c>
      <c r="I194" s="10">
        <v>3</v>
      </c>
      <c r="J194" s="10" t="s">
        <v>192</v>
      </c>
      <c r="K194" s="10">
        <v>90</v>
      </c>
      <c r="P194" s="5" t="str">
        <f t="shared" ref="P194:P257" si="18">VLOOKUP(A194, quota_order_numbers2, 6, FALSE)</f>
        <v>NO</v>
      </c>
      <c r="Q194" s="10">
        <f t="shared" ref="Q194:Q257" si="19">VLOOKUP(A194, quota_order_numbers2, 2, FALSE)</f>
        <v>0</v>
      </c>
    </row>
    <row r="195" spans="1:17" x14ac:dyDescent="0.2">
      <c r="A195" s="4" t="s">
        <v>732</v>
      </c>
      <c r="B195" s="17" t="str">
        <f t="shared" si="14"/>
        <v>143 Preferential tariff quota</v>
      </c>
      <c r="C195" s="17" t="str">
        <f t="shared" si="13"/>
        <v>FCFS</v>
      </c>
      <c r="D195" s="14">
        <v>43568</v>
      </c>
      <c r="E195" s="14">
        <v>43585</v>
      </c>
      <c r="F195" s="20">
        <f t="shared" si="15"/>
        <v>17</v>
      </c>
      <c r="G195" s="15">
        <v>18000</v>
      </c>
      <c r="H195" s="5" t="s">
        <v>27</v>
      </c>
      <c r="I195" s="10">
        <v>3</v>
      </c>
      <c r="J195" s="10" t="s">
        <v>192</v>
      </c>
      <c r="K195" s="10">
        <v>90</v>
      </c>
      <c r="P195" s="5" t="str">
        <f t="shared" si="18"/>
        <v>NO</v>
      </c>
      <c r="Q195" s="10">
        <f t="shared" si="19"/>
        <v>0</v>
      </c>
    </row>
    <row r="196" spans="1:17" x14ac:dyDescent="0.2">
      <c r="A196" s="4" t="s">
        <v>733</v>
      </c>
      <c r="B196" s="17" t="str">
        <f t="shared" si="14"/>
        <v>143 Preferential tariff quota</v>
      </c>
      <c r="C196" s="17" t="str">
        <f t="shared" si="13"/>
        <v>FCFS</v>
      </c>
      <c r="D196" s="14">
        <v>43568</v>
      </c>
      <c r="E196" s="14">
        <v>43830</v>
      </c>
      <c r="F196" s="20">
        <f t="shared" si="15"/>
        <v>262</v>
      </c>
      <c r="G196" s="15">
        <v>27000</v>
      </c>
      <c r="H196" s="5" t="s">
        <v>27</v>
      </c>
      <c r="I196" s="10">
        <v>3</v>
      </c>
      <c r="J196" s="10" t="s">
        <v>192</v>
      </c>
      <c r="K196" s="10">
        <v>90</v>
      </c>
      <c r="P196" s="5" t="str">
        <f t="shared" si="18"/>
        <v>NO</v>
      </c>
      <c r="Q196" s="10">
        <f t="shared" si="19"/>
        <v>0</v>
      </c>
    </row>
    <row r="197" spans="1:17" x14ac:dyDescent="0.2">
      <c r="A197" s="4" t="s">
        <v>734</v>
      </c>
      <c r="B197" s="17" t="str">
        <f t="shared" si="14"/>
        <v>143 Preferential tariff quota</v>
      </c>
      <c r="C197" s="17" t="str">
        <f t="shared" si="13"/>
        <v>FCFS</v>
      </c>
      <c r="D197" s="14">
        <v>43632</v>
      </c>
      <c r="E197" s="14">
        <v>43875</v>
      </c>
      <c r="F197" s="20">
        <f t="shared" si="15"/>
        <v>243</v>
      </c>
      <c r="G197" s="15">
        <v>7000</v>
      </c>
      <c r="H197" s="5" t="s">
        <v>27</v>
      </c>
      <c r="I197" s="10">
        <v>3</v>
      </c>
      <c r="J197" s="10" t="s">
        <v>192</v>
      </c>
      <c r="K197" s="10">
        <v>90</v>
      </c>
      <c r="P197" s="5" t="str">
        <f t="shared" si="18"/>
        <v>NO</v>
      </c>
      <c r="Q197" s="10">
        <f t="shared" si="19"/>
        <v>0</v>
      </c>
    </row>
    <row r="198" spans="1:17" x14ac:dyDescent="0.2">
      <c r="A198" s="4" t="s">
        <v>735</v>
      </c>
      <c r="B198" s="17" t="str">
        <f t="shared" si="14"/>
        <v>143 Preferential tariff quota</v>
      </c>
      <c r="C198" s="17" t="str">
        <f t="shared" si="13"/>
        <v>FCFS</v>
      </c>
      <c r="D198" s="14">
        <v>43632</v>
      </c>
      <c r="E198" s="14">
        <v>43875</v>
      </c>
      <c r="F198" s="20">
        <f t="shared" si="15"/>
        <v>243</v>
      </c>
      <c r="G198" s="15">
        <v>191000</v>
      </c>
      <c r="H198" s="5" t="s">
        <v>27</v>
      </c>
      <c r="I198" s="10">
        <v>3</v>
      </c>
      <c r="J198" s="10" t="s">
        <v>192</v>
      </c>
      <c r="K198" s="10">
        <v>90</v>
      </c>
      <c r="P198" s="5" t="str">
        <f t="shared" si="18"/>
        <v>NO</v>
      </c>
      <c r="Q198" s="10">
        <f t="shared" si="19"/>
        <v>0</v>
      </c>
    </row>
    <row r="199" spans="1:17" x14ac:dyDescent="0.2">
      <c r="A199" s="4" t="s">
        <v>736</v>
      </c>
      <c r="B199" s="17" t="str">
        <f t="shared" si="14"/>
        <v>143 Preferential tariff quota</v>
      </c>
      <c r="C199" s="17" t="str">
        <f t="shared" ref="C199:C264" si="20">IF(LEFT(A199,3)="094","Licensed","FCFS")</f>
        <v>FCFS</v>
      </c>
      <c r="D199" s="14">
        <v>43568</v>
      </c>
      <c r="E199" s="14">
        <v>43830</v>
      </c>
      <c r="F199" s="20">
        <f t="shared" si="15"/>
        <v>262</v>
      </c>
      <c r="G199" s="15">
        <v>2845000</v>
      </c>
      <c r="H199" s="5" t="s">
        <v>27</v>
      </c>
      <c r="I199" s="10">
        <v>3</v>
      </c>
      <c r="J199" s="10" t="s">
        <v>192</v>
      </c>
      <c r="K199" s="10">
        <v>90</v>
      </c>
      <c r="P199" s="5" t="str">
        <f t="shared" si="18"/>
        <v>NO</v>
      </c>
      <c r="Q199" s="10">
        <f t="shared" si="19"/>
        <v>0</v>
      </c>
    </row>
    <row r="200" spans="1:17" x14ac:dyDescent="0.2">
      <c r="A200" s="4" t="s">
        <v>737</v>
      </c>
      <c r="B200" s="17" t="str">
        <f t="shared" si="14"/>
        <v>143 Preferential tariff quota</v>
      </c>
      <c r="C200" s="17" t="str">
        <f t="shared" si="20"/>
        <v>FCFS</v>
      </c>
      <c r="D200" s="14">
        <v>43568</v>
      </c>
      <c r="E200" s="14">
        <v>43830</v>
      </c>
      <c r="F200" s="20">
        <f t="shared" si="15"/>
        <v>262</v>
      </c>
      <c r="G200" s="15">
        <v>3000</v>
      </c>
      <c r="H200" s="5" t="s">
        <v>27</v>
      </c>
      <c r="I200" s="10">
        <v>3</v>
      </c>
      <c r="J200" s="10" t="s">
        <v>192</v>
      </c>
      <c r="K200" s="10">
        <v>90</v>
      </c>
      <c r="P200" s="5" t="str">
        <f t="shared" si="18"/>
        <v>NO</v>
      </c>
      <c r="Q200" s="10">
        <f t="shared" si="19"/>
        <v>0</v>
      </c>
    </row>
    <row r="201" spans="1:17" x14ac:dyDescent="0.2">
      <c r="A201" s="4" t="s">
        <v>738</v>
      </c>
      <c r="B201" s="17" t="str">
        <f t="shared" si="14"/>
        <v>143 Preferential tariff quota</v>
      </c>
      <c r="C201" s="17" t="str">
        <f t="shared" si="20"/>
        <v>FCFS</v>
      </c>
      <c r="D201" s="14">
        <v>43568</v>
      </c>
      <c r="E201" s="14">
        <v>43830</v>
      </c>
      <c r="F201" s="20">
        <f t="shared" si="15"/>
        <v>262</v>
      </c>
      <c r="G201" s="15">
        <v>1000</v>
      </c>
      <c r="H201" s="5" t="s">
        <v>27</v>
      </c>
      <c r="I201" s="10">
        <v>3</v>
      </c>
      <c r="J201" s="10" t="s">
        <v>192</v>
      </c>
      <c r="K201" s="10">
        <v>90</v>
      </c>
      <c r="P201" s="5" t="str">
        <f t="shared" si="18"/>
        <v>NO</v>
      </c>
      <c r="Q201" s="10">
        <f t="shared" si="19"/>
        <v>0</v>
      </c>
    </row>
    <row r="202" spans="1:17" x14ac:dyDescent="0.2">
      <c r="A202" s="4" t="s">
        <v>739</v>
      </c>
      <c r="B202" s="17" t="str">
        <f t="shared" si="14"/>
        <v>143 Preferential tariff quota</v>
      </c>
      <c r="C202" s="17" t="str">
        <f t="shared" si="20"/>
        <v>FCFS</v>
      </c>
      <c r="D202" s="14">
        <v>43568</v>
      </c>
      <c r="E202" s="14">
        <v>43830</v>
      </c>
      <c r="F202" s="20">
        <f t="shared" si="15"/>
        <v>262</v>
      </c>
      <c r="G202" s="15">
        <v>14000</v>
      </c>
      <c r="H202" s="5" t="s">
        <v>27</v>
      </c>
      <c r="I202" s="10">
        <v>3</v>
      </c>
      <c r="J202" s="10" t="s">
        <v>192</v>
      </c>
      <c r="K202" s="10">
        <v>90</v>
      </c>
      <c r="P202" s="5" t="str">
        <f t="shared" si="18"/>
        <v>NO</v>
      </c>
      <c r="Q202" s="10">
        <f t="shared" si="19"/>
        <v>0</v>
      </c>
    </row>
    <row r="203" spans="1:17" x14ac:dyDescent="0.2">
      <c r="A203" s="4" t="s">
        <v>740</v>
      </c>
      <c r="B203" s="17" t="str">
        <f t="shared" si="14"/>
        <v>143 Preferential tariff quota</v>
      </c>
      <c r="C203" s="17" t="str">
        <f t="shared" si="20"/>
        <v>FCFS</v>
      </c>
      <c r="D203" s="14">
        <v>43568</v>
      </c>
      <c r="E203" s="14">
        <v>43830</v>
      </c>
      <c r="F203" s="20">
        <f t="shared" ref="F203:F261" si="21">DATEDIF(D203, E203, "d")</f>
        <v>262</v>
      </c>
      <c r="G203" s="15">
        <v>110000</v>
      </c>
      <c r="H203" s="5" t="s">
        <v>27</v>
      </c>
      <c r="I203" s="10">
        <v>3</v>
      </c>
      <c r="J203" s="10" t="s">
        <v>192</v>
      </c>
      <c r="K203" s="10">
        <v>90</v>
      </c>
      <c r="P203" s="5" t="str">
        <f t="shared" si="18"/>
        <v>NO</v>
      </c>
      <c r="Q203" s="10">
        <f t="shared" si="19"/>
        <v>0</v>
      </c>
    </row>
    <row r="204" spans="1:17" x14ac:dyDescent="0.2">
      <c r="A204" s="4" t="s">
        <v>741</v>
      </c>
      <c r="B204" s="17" t="str">
        <f t="shared" ref="B204:B271" si="22">VLOOKUP(A204, quota_order_numbers2, 5, FALSE)</f>
        <v>143 Preferential tariff quota</v>
      </c>
      <c r="C204" s="17" t="str">
        <f t="shared" si="20"/>
        <v>FCFS</v>
      </c>
      <c r="D204" s="14">
        <v>43568</v>
      </c>
      <c r="E204" s="14">
        <v>43830</v>
      </c>
      <c r="F204" s="20">
        <f t="shared" si="21"/>
        <v>262</v>
      </c>
      <c r="G204" s="15">
        <v>19000</v>
      </c>
      <c r="H204" s="5" t="s">
        <v>27</v>
      </c>
      <c r="I204" s="10">
        <v>3</v>
      </c>
      <c r="J204" s="10" t="s">
        <v>192</v>
      </c>
      <c r="K204" s="10">
        <v>90</v>
      </c>
      <c r="P204" s="5" t="str">
        <f t="shared" si="18"/>
        <v>NO</v>
      </c>
      <c r="Q204" s="10">
        <f t="shared" si="19"/>
        <v>0</v>
      </c>
    </row>
    <row r="205" spans="1:17" x14ac:dyDescent="0.2">
      <c r="A205" s="4" t="s">
        <v>742</v>
      </c>
      <c r="B205" s="17" t="str">
        <f t="shared" si="22"/>
        <v>143 Preferential tariff quota</v>
      </c>
      <c r="C205" s="17" t="str">
        <f t="shared" si="20"/>
        <v>FCFS</v>
      </c>
      <c r="D205" s="14">
        <v>43568</v>
      </c>
      <c r="E205" s="14">
        <v>43830</v>
      </c>
      <c r="F205" s="20">
        <f t="shared" si="21"/>
        <v>262</v>
      </c>
      <c r="G205" s="15">
        <v>1000</v>
      </c>
      <c r="H205" s="5" t="s">
        <v>27</v>
      </c>
      <c r="I205" s="10">
        <v>3</v>
      </c>
      <c r="J205" s="10" t="s">
        <v>192</v>
      </c>
      <c r="K205" s="10">
        <v>90</v>
      </c>
      <c r="P205" s="5" t="str">
        <f t="shared" si="18"/>
        <v>NO</v>
      </c>
      <c r="Q205" s="10">
        <f t="shared" si="19"/>
        <v>0</v>
      </c>
    </row>
    <row r="206" spans="1:17" x14ac:dyDescent="0.2">
      <c r="A206" s="4" t="s">
        <v>743</v>
      </c>
      <c r="B206" s="17" t="str">
        <f t="shared" si="22"/>
        <v>143 Preferential tariff quota</v>
      </c>
      <c r="C206" s="17" t="str">
        <f t="shared" si="20"/>
        <v>FCFS</v>
      </c>
      <c r="D206" s="14">
        <v>43568</v>
      </c>
      <c r="E206" s="14">
        <v>43830</v>
      </c>
      <c r="F206" s="20">
        <f t="shared" si="21"/>
        <v>262</v>
      </c>
      <c r="G206" s="15">
        <v>560000</v>
      </c>
      <c r="H206" s="5" t="s">
        <v>27</v>
      </c>
      <c r="I206" s="10">
        <v>3</v>
      </c>
      <c r="J206" s="10" t="s">
        <v>192</v>
      </c>
      <c r="K206" s="10">
        <v>90</v>
      </c>
      <c r="P206" s="5" t="str">
        <f t="shared" si="18"/>
        <v>NO</v>
      </c>
      <c r="Q206" s="10">
        <f t="shared" si="19"/>
        <v>0</v>
      </c>
    </row>
    <row r="207" spans="1:17" x14ac:dyDescent="0.2">
      <c r="A207" s="4" t="s">
        <v>744</v>
      </c>
      <c r="B207" s="17" t="str">
        <f t="shared" si="22"/>
        <v>143 Preferential tariff quota</v>
      </c>
      <c r="C207" s="17" t="str">
        <f t="shared" si="20"/>
        <v>FCFS</v>
      </c>
      <c r="D207" s="14">
        <v>43568</v>
      </c>
      <c r="E207" s="14">
        <v>43585</v>
      </c>
      <c r="F207" s="20">
        <f t="shared" si="21"/>
        <v>17</v>
      </c>
      <c r="G207" s="15">
        <v>38000</v>
      </c>
      <c r="H207" s="5" t="s">
        <v>27</v>
      </c>
      <c r="I207" s="10">
        <v>3</v>
      </c>
      <c r="J207" s="10" t="s">
        <v>192</v>
      </c>
      <c r="K207" s="10">
        <v>90</v>
      </c>
      <c r="P207" s="5" t="str">
        <f t="shared" si="18"/>
        <v>NO</v>
      </c>
      <c r="Q207" s="10">
        <f t="shared" si="19"/>
        <v>0</v>
      </c>
    </row>
    <row r="208" spans="1:17" x14ac:dyDescent="0.2">
      <c r="A208" s="4" t="s">
        <v>745</v>
      </c>
      <c r="B208" s="17" t="str">
        <f t="shared" si="22"/>
        <v>143 Preferential tariff quota</v>
      </c>
      <c r="C208" s="17" t="str">
        <f t="shared" si="20"/>
        <v>FCFS</v>
      </c>
      <c r="D208" s="14">
        <v>43586</v>
      </c>
      <c r="E208" s="14">
        <v>43951</v>
      </c>
      <c r="F208" s="20">
        <f t="shared" si="21"/>
        <v>365</v>
      </c>
      <c r="G208" s="15">
        <v>1000</v>
      </c>
      <c r="H208" s="5" t="s">
        <v>27</v>
      </c>
      <c r="I208" s="10">
        <v>3</v>
      </c>
      <c r="J208" s="10" t="s">
        <v>192</v>
      </c>
      <c r="K208" s="10">
        <v>90</v>
      </c>
      <c r="P208" s="5" t="str">
        <f t="shared" si="18"/>
        <v>NO</v>
      </c>
      <c r="Q208" s="10">
        <f t="shared" si="19"/>
        <v>0</v>
      </c>
    </row>
    <row r="209" spans="1:17" x14ac:dyDescent="0.2">
      <c r="A209" s="4" t="s">
        <v>746</v>
      </c>
      <c r="B209" s="17" t="str">
        <f t="shared" si="22"/>
        <v>143 Preferential tariff quota</v>
      </c>
      <c r="C209" s="17" t="str">
        <f t="shared" si="20"/>
        <v>FCFS</v>
      </c>
      <c r="D209" s="14">
        <v>43568</v>
      </c>
      <c r="E209" s="14">
        <v>43830</v>
      </c>
      <c r="F209" s="20">
        <f t="shared" si="21"/>
        <v>262</v>
      </c>
      <c r="G209" s="15">
        <v>142000</v>
      </c>
      <c r="H209" s="5" t="s">
        <v>27</v>
      </c>
      <c r="I209" s="10">
        <v>3</v>
      </c>
      <c r="J209" s="10" t="s">
        <v>192</v>
      </c>
      <c r="K209" s="10">
        <v>90</v>
      </c>
      <c r="P209" s="5" t="str">
        <f t="shared" si="18"/>
        <v>NO</v>
      </c>
      <c r="Q209" s="10">
        <f t="shared" si="19"/>
        <v>0</v>
      </c>
    </row>
    <row r="210" spans="1:17" x14ac:dyDescent="0.2">
      <c r="A210" s="4" t="s">
        <v>747</v>
      </c>
      <c r="B210" s="17" t="str">
        <f t="shared" si="22"/>
        <v>143 Preferential tariff quota</v>
      </c>
      <c r="C210" s="17" t="str">
        <f t="shared" si="20"/>
        <v>FCFS</v>
      </c>
      <c r="D210" s="14">
        <v>43568</v>
      </c>
      <c r="E210" s="14">
        <v>43830</v>
      </c>
      <c r="F210" s="20">
        <f t="shared" si="21"/>
        <v>262</v>
      </c>
      <c r="G210" s="15">
        <v>113000</v>
      </c>
      <c r="H210" s="5" t="s">
        <v>27</v>
      </c>
      <c r="I210" s="10">
        <v>3</v>
      </c>
      <c r="J210" s="10" t="s">
        <v>192</v>
      </c>
      <c r="K210" s="10">
        <v>90</v>
      </c>
      <c r="P210" s="5" t="str">
        <f t="shared" si="18"/>
        <v>NO</v>
      </c>
      <c r="Q210" s="10">
        <f t="shared" si="19"/>
        <v>0</v>
      </c>
    </row>
    <row r="211" spans="1:17" x14ac:dyDescent="0.2">
      <c r="A211" s="4" t="s">
        <v>748</v>
      </c>
      <c r="B211" s="17" t="str">
        <f t="shared" si="22"/>
        <v>143 Preferential tariff quota</v>
      </c>
      <c r="C211" s="17" t="str">
        <f t="shared" si="20"/>
        <v>FCFS</v>
      </c>
      <c r="D211" s="14">
        <v>43568</v>
      </c>
      <c r="E211" s="14">
        <v>43830</v>
      </c>
      <c r="F211" s="20">
        <f t="shared" si="21"/>
        <v>262</v>
      </c>
      <c r="G211" s="15">
        <v>695000</v>
      </c>
      <c r="H211" s="5" t="s">
        <v>27</v>
      </c>
      <c r="I211" s="10">
        <v>3</v>
      </c>
      <c r="J211" s="10" t="s">
        <v>192</v>
      </c>
      <c r="K211" s="10">
        <v>90</v>
      </c>
      <c r="P211" s="5" t="str">
        <f t="shared" si="18"/>
        <v>NO</v>
      </c>
      <c r="Q211" s="10">
        <f t="shared" si="19"/>
        <v>0</v>
      </c>
    </row>
    <row r="212" spans="1:17" x14ac:dyDescent="0.2">
      <c r="A212" s="4" t="s">
        <v>749</v>
      </c>
      <c r="B212" s="17" t="str">
        <f t="shared" si="22"/>
        <v>143 Preferential tariff quota</v>
      </c>
      <c r="C212" s="17" t="str">
        <f t="shared" si="20"/>
        <v>FCFS</v>
      </c>
      <c r="D212" s="14">
        <v>43568</v>
      </c>
      <c r="E212" s="14">
        <v>43585</v>
      </c>
      <c r="F212" s="20">
        <f t="shared" si="21"/>
        <v>17</v>
      </c>
      <c r="G212" s="15">
        <v>1000</v>
      </c>
      <c r="H212" s="5" t="s">
        <v>27</v>
      </c>
      <c r="I212" s="10">
        <v>3</v>
      </c>
      <c r="J212" s="10" t="s">
        <v>192</v>
      </c>
      <c r="K212" s="10">
        <v>90</v>
      </c>
      <c r="P212" s="5" t="str">
        <f t="shared" si="18"/>
        <v>NO</v>
      </c>
      <c r="Q212" s="10">
        <f t="shared" si="19"/>
        <v>0</v>
      </c>
    </row>
    <row r="213" spans="1:17" x14ac:dyDescent="0.2">
      <c r="A213" s="4" t="s">
        <v>750</v>
      </c>
      <c r="B213" s="17" t="str">
        <f t="shared" si="22"/>
        <v>143 Preferential tariff quota</v>
      </c>
      <c r="C213" s="17" t="str">
        <f t="shared" si="20"/>
        <v>FCFS</v>
      </c>
      <c r="D213" s="14">
        <v>43568</v>
      </c>
      <c r="E213" s="14">
        <v>43585</v>
      </c>
      <c r="F213" s="20">
        <f t="shared" si="21"/>
        <v>17</v>
      </c>
      <c r="G213" s="15">
        <v>1000</v>
      </c>
      <c r="H213" s="5" t="s">
        <v>27</v>
      </c>
      <c r="I213" s="10">
        <v>3</v>
      </c>
      <c r="J213" s="10" t="s">
        <v>192</v>
      </c>
      <c r="K213" s="10">
        <v>90</v>
      </c>
      <c r="P213" s="5" t="str">
        <f t="shared" si="18"/>
        <v>NO</v>
      </c>
      <c r="Q213" s="10">
        <f t="shared" si="19"/>
        <v>0</v>
      </c>
    </row>
    <row r="214" spans="1:17" x14ac:dyDescent="0.2">
      <c r="A214" s="4" t="s">
        <v>751</v>
      </c>
      <c r="B214" s="17" t="str">
        <f t="shared" si="22"/>
        <v>143 Preferential tariff quota</v>
      </c>
      <c r="C214" s="17" t="str">
        <f t="shared" si="20"/>
        <v>Licensed</v>
      </c>
      <c r="D214" s="14">
        <v>43568</v>
      </c>
      <c r="E214" s="14">
        <v>43830</v>
      </c>
      <c r="F214" s="20">
        <f t="shared" si="21"/>
        <v>262</v>
      </c>
      <c r="G214" s="15">
        <v>56000</v>
      </c>
      <c r="H214" s="5" t="s">
        <v>27</v>
      </c>
      <c r="I214" s="10">
        <v>3</v>
      </c>
      <c r="J214" s="10" t="s">
        <v>192</v>
      </c>
      <c r="K214" s="10">
        <v>90</v>
      </c>
      <c r="P214" s="5" t="str">
        <f t="shared" si="18"/>
        <v>NO</v>
      </c>
      <c r="Q214" s="10">
        <f t="shared" si="19"/>
        <v>0</v>
      </c>
    </row>
    <row r="215" spans="1:17" x14ac:dyDescent="0.2">
      <c r="A215" s="22" t="s">
        <v>728</v>
      </c>
      <c r="B215" s="17" t="str">
        <f t="shared" si="22"/>
        <v>143 Preferential tariff quota</v>
      </c>
      <c r="C215" s="17" t="str">
        <f t="shared" si="20"/>
        <v>FCFS</v>
      </c>
      <c r="D215" s="14">
        <v>43831</v>
      </c>
      <c r="E215" s="14">
        <v>44196</v>
      </c>
      <c r="F215" s="20">
        <f t="shared" si="21"/>
        <v>365</v>
      </c>
      <c r="G215" s="15">
        <v>3000</v>
      </c>
      <c r="H215" s="5" t="s">
        <v>40</v>
      </c>
      <c r="I215" s="10">
        <v>3</v>
      </c>
      <c r="J215" s="10" t="s">
        <v>192</v>
      </c>
      <c r="K215" s="10">
        <v>90</v>
      </c>
      <c r="P215" s="5" t="str">
        <f t="shared" si="18"/>
        <v>NO</v>
      </c>
      <c r="Q215" s="10">
        <f t="shared" si="19"/>
        <v>0</v>
      </c>
    </row>
    <row r="216" spans="1:17" x14ac:dyDescent="0.2">
      <c r="A216" s="4" t="s">
        <v>729</v>
      </c>
      <c r="B216" s="17" t="str">
        <f t="shared" si="22"/>
        <v>143 Preferential tariff quota</v>
      </c>
      <c r="C216" s="17" t="str">
        <f t="shared" si="20"/>
        <v>FCFS</v>
      </c>
      <c r="D216" s="14">
        <v>43586</v>
      </c>
      <c r="E216" s="14">
        <v>43951</v>
      </c>
      <c r="F216" s="20">
        <f t="shared" si="21"/>
        <v>365</v>
      </c>
      <c r="G216" s="15">
        <v>571000</v>
      </c>
      <c r="H216" s="5" t="s">
        <v>27</v>
      </c>
      <c r="I216" s="10">
        <v>3</v>
      </c>
      <c r="J216" s="10" t="s">
        <v>192</v>
      </c>
      <c r="K216" s="10">
        <v>90</v>
      </c>
      <c r="P216" s="5" t="str">
        <f t="shared" si="18"/>
        <v>NO</v>
      </c>
      <c r="Q216" s="10">
        <f t="shared" si="19"/>
        <v>0</v>
      </c>
    </row>
    <row r="217" spans="1:17" x14ac:dyDescent="0.2">
      <c r="A217" s="4" t="s">
        <v>730</v>
      </c>
      <c r="B217" s="17" t="str">
        <f t="shared" si="22"/>
        <v>143 Preferential tariff quota</v>
      </c>
      <c r="C217" s="17" t="str">
        <f t="shared" si="20"/>
        <v>FCFS</v>
      </c>
      <c r="D217" s="14">
        <v>43586</v>
      </c>
      <c r="E217" s="14">
        <v>43951</v>
      </c>
      <c r="F217" s="20">
        <f t="shared" si="21"/>
        <v>365</v>
      </c>
      <c r="G217" s="15">
        <v>259000</v>
      </c>
      <c r="H217" s="5" t="s">
        <v>27</v>
      </c>
      <c r="I217" s="10">
        <v>3</v>
      </c>
      <c r="J217" s="10" t="s">
        <v>192</v>
      </c>
      <c r="K217" s="10">
        <v>90</v>
      </c>
      <c r="P217" s="5" t="str">
        <f t="shared" si="18"/>
        <v>NO</v>
      </c>
      <c r="Q217" s="10">
        <f t="shared" si="19"/>
        <v>0</v>
      </c>
    </row>
    <row r="218" spans="1:17" x14ac:dyDescent="0.2">
      <c r="A218" s="4" t="s">
        <v>731</v>
      </c>
      <c r="B218" s="17" t="str">
        <f t="shared" si="22"/>
        <v>143 Preferential tariff quota</v>
      </c>
      <c r="C218" s="17" t="str">
        <f t="shared" si="20"/>
        <v>FCFS</v>
      </c>
      <c r="D218" s="14">
        <v>43586</v>
      </c>
      <c r="E218" s="14">
        <v>43951</v>
      </c>
      <c r="F218" s="20">
        <f t="shared" si="21"/>
        <v>365</v>
      </c>
      <c r="G218" s="15">
        <v>140000</v>
      </c>
      <c r="H218" s="5" t="s">
        <v>27</v>
      </c>
      <c r="I218" s="10">
        <v>3</v>
      </c>
      <c r="J218" s="10" t="s">
        <v>192</v>
      </c>
      <c r="K218" s="10">
        <v>90</v>
      </c>
      <c r="P218" s="5" t="str">
        <f t="shared" si="18"/>
        <v>NO</v>
      </c>
      <c r="Q218" s="10">
        <f t="shared" si="19"/>
        <v>0</v>
      </c>
    </row>
    <row r="219" spans="1:17" x14ac:dyDescent="0.2">
      <c r="A219" s="4" t="s">
        <v>732</v>
      </c>
      <c r="B219" s="17" t="str">
        <f t="shared" si="22"/>
        <v>143 Preferential tariff quota</v>
      </c>
      <c r="C219" s="17" t="str">
        <f t="shared" si="20"/>
        <v>FCFS</v>
      </c>
      <c r="D219" s="14">
        <v>43586</v>
      </c>
      <c r="E219" s="14">
        <v>43951</v>
      </c>
      <c r="F219" s="20">
        <f t="shared" si="21"/>
        <v>365</v>
      </c>
      <c r="G219" s="15">
        <v>373000</v>
      </c>
      <c r="H219" s="5" t="s">
        <v>27</v>
      </c>
      <c r="I219" s="10">
        <v>3</v>
      </c>
      <c r="J219" s="10" t="s">
        <v>192</v>
      </c>
      <c r="K219" s="10">
        <v>90</v>
      </c>
      <c r="P219" s="5" t="str">
        <f t="shared" si="18"/>
        <v>NO</v>
      </c>
      <c r="Q219" s="10">
        <f t="shared" si="19"/>
        <v>0</v>
      </c>
    </row>
    <row r="220" spans="1:17" x14ac:dyDescent="0.2">
      <c r="A220" s="4" t="s">
        <v>733</v>
      </c>
      <c r="B220" s="17" t="str">
        <f t="shared" si="22"/>
        <v>143 Preferential tariff quota</v>
      </c>
      <c r="C220" s="17" t="str">
        <f t="shared" si="20"/>
        <v>FCFS</v>
      </c>
      <c r="D220" s="14">
        <v>43831</v>
      </c>
      <c r="E220" s="14">
        <v>44196</v>
      </c>
      <c r="F220" s="20">
        <f t="shared" si="21"/>
        <v>365</v>
      </c>
      <c r="G220" s="15">
        <v>37000</v>
      </c>
      <c r="H220" s="5" t="s">
        <v>27</v>
      </c>
      <c r="I220" s="10">
        <v>3</v>
      </c>
      <c r="J220" s="10" t="s">
        <v>192</v>
      </c>
      <c r="K220" s="10">
        <v>90</v>
      </c>
      <c r="P220" s="5" t="str">
        <f t="shared" si="18"/>
        <v>NO</v>
      </c>
      <c r="Q220" s="10">
        <f t="shared" si="19"/>
        <v>0</v>
      </c>
    </row>
    <row r="221" spans="1:17" x14ac:dyDescent="0.2">
      <c r="A221" s="4" t="s">
        <v>734</v>
      </c>
      <c r="B221" s="17" t="str">
        <f t="shared" si="22"/>
        <v>143 Preferential tariff quota</v>
      </c>
      <c r="C221" s="17" t="str">
        <f t="shared" si="20"/>
        <v>FCFS</v>
      </c>
      <c r="D221" s="14">
        <v>43998</v>
      </c>
      <c r="E221" s="14">
        <v>44241</v>
      </c>
      <c r="F221" s="20">
        <f t="shared" si="21"/>
        <v>243</v>
      </c>
      <c r="G221" s="15">
        <v>7000</v>
      </c>
      <c r="H221" s="5" t="s">
        <v>27</v>
      </c>
      <c r="I221" s="10">
        <v>3</v>
      </c>
      <c r="J221" s="10" t="s">
        <v>192</v>
      </c>
      <c r="K221" s="10">
        <v>90</v>
      </c>
      <c r="P221" s="5" t="str">
        <f t="shared" si="18"/>
        <v>NO</v>
      </c>
      <c r="Q221" s="10">
        <f t="shared" si="19"/>
        <v>0</v>
      </c>
    </row>
    <row r="222" spans="1:17" x14ac:dyDescent="0.2">
      <c r="A222" s="4" t="s">
        <v>735</v>
      </c>
      <c r="B222" s="17" t="str">
        <f t="shared" si="22"/>
        <v>143 Preferential tariff quota</v>
      </c>
      <c r="C222" s="17" t="str">
        <f t="shared" si="20"/>
        <v>FCFS</v>
      </c>
      <c r="D222" s="14">
        <v>43998</v>
      </c>
      <c r="E222" s="14">
        <v>44241</v>
      </c>
      <c r="F222" s="20">
        <f t="shared" si="21"/>
        <v>243</v>
      </c>
      <c r="G222" s="15">
        <v>191000</v>
      </c>
      <c r="H222" s="5" t="s">
        <v>27</v>
      </c>
      <c r="I222" s="10">
        <v>3</v>
      </c>
      <c r="J222" s="10" t="s">
        <v>192</v>
      </c>
      <c r="K222" s="10">
        <v>90</v>
      </c>
      <c r="P222" s="5" t="str">
        <f t="shared" si="18"/>
        <v>NO</v>
      </c>
      <c r="Q222" s="10">
        <f t="shared" si="19"/>
        <v>0</v>
      </c>
    </row>
    <row r="223" spans="1:17" x14ac:dyDescent="0.2">
      <c r="A223" s="4" t="s">
        <v>736</v>
      </c>
      <c r="B223" s="17" t="str">
        <f t="shared" si="22"/>
        <v>143 Preferential tariff quota</v>
      </c>
      <c r="C223" s="17" t="str">
        <f t="shared" si="20"/>
        <v>FCFS</v>
      </c>
      <c r="D223" s="14">
        <v>43831</v>
      </c>
      <c r="E223" s="14">
        <v>44196</v>
      </c>
      <c r="F223" s="20">
        <f t="shared" si="21"/>
        <v>365</v>
      </c>
      <c r="G223" s="15">
        <v>3949000</v>
      </c>
      <c r="H223" s="5" t="s">
        <v>27</v>
      </c>
      <c r="I223" s="10">
        <v>3</v>
      </c>
      <c r="J223" s="10" t="s">
        <v>192</v>
      </c>
      <c r="K223" s="10">
        <v>90</v>
      </c>
      <c r="P223" s="5" t="str">
        <f t="shared" si="18"/>
        <v>NO</v>
      </c>
      <c r="Q223" s="10">
        <f t="shared" si="19"/>
        <v>0</v>
      </c>
    </row>
    <row r="224" spans="1:17" x14ac:dyDescent="0.2">
      <c r="A224" s="4" t="s">
        <v>737</v>
      </c>
      <c r="B224" s="17" t="str">
        <f t="shared" si="22"/>
        <v>143 Preferential tariff quota</v>
      </c>
      <c r="C224" s="17" t="str">
        <f t="shared" si="20"/>
        <v>FCFS</v>
      </c>
      <c r="D224" s="14">
        <v>43831</v>
      </c>
      <c r="E224" s="14">
        <v>44196</v>
      </c>
      <c r="F224" s="20">
        <f t="shared" si="21"/>
        <v>365</v>
      </c>
      <c r="G224" s="15">
        <v>4000</v>
      </c>
      <c r="H224" s="5" t="s">
        <v>27</v>
      </c>
      <c r="I224" s="10">
        <v>3</v>
      </c>
      <c r="J224" s="10" t="s">
        <v>192</v>
      </c>
      <c r="K224" s="10">
        <v>90</v>
      </c>
      <c r="P224" s="5" t="str">
        <f t="shared" si="18"/>
        <v>NO</v>
      </c>
      <c r="Q224" s="10">
        <f t="shared" si="19"/>
        <v>0</v>
      </c>
    </row>
    <row r="225" spans="1:17" x14ac:dyDescent="0.2">
      <c r="A225" s="4" t="s">
        <v>738</v>
      </c>
      <c r="B225" s="17" t="str">
        <f t="shared" si="22"/>
        <v>143 Preferential tariff quota</v>
      </c>
      <c r="C225" s="17" t="str">
        <f t="shared" si="20"/>
        <v>FCFS</v>
      </c>
      <c r="D225" s="14">
        <v>43831</v>
      </c>
      <c r="E225" s="14">
        <v>44196</v>
      </c>
      <c r="F225" s="20">
        <f t="shared" si="21"/>
        <v>365</v>
      </c>
      <c r="G225" s="15">
        <v>1000</v>
      </c>
      <c r="H225" s="5" t="s">
        <v>27</v>
      </c>
      <c r="I225" s="10">
        <v>3</v>
      </c>
      <c r="J225" s="10" t="s">
        <v>192</v>
      </c>
      <c r="K225" s="10">
        <v>90</v>
      </c>
      <c r="P225" s="5" t="str">
        <f t="shared" si="18"/>
        <v>NO</v>
      </c>
      <c r="Q225" s="10">
        <f t="shared" si="19"/>
        <v>0</v>
      </c>
    </row>
    <row r="226" spans="1:17" x14ac:dyDescent="0.2">
      <c r="A226" s="4" t="s">
        <v>739</v>
      </c>
      <c r="B226" s="17" t="str">
        <f t="shared" si="22"/>
        <v>143 Preferential tariff quota</v>
      </c>
      <c r="C226" s="17" t="str">
        <f t="shared" si="20"/>
        <v>FCFS</v>
      </c>
      <c r="D226" s="14">
        <v>43831</v>
      </c>
      <c r="E226" s="14">
        <v>44196</v>
      </c>
      <c r="F226" s="20">
        <f t="shared" si="21"/>
        <v>365</v>
      </c>
      <c r="G226" s="15">
        <v>19000</v>
      </c>
      <c r="H226" s="5" t="s">
        <v>27</v>
      </c>
      <c r="I226" s="10">
        <v>3</v>
      </c>
      <c r="J226" s="10" t="s">
        <v>192</v>
      </c>
      <c r="K226" s="10">
        <v>90</v>
      </c>
      <c r="P226" s="5" t="str">
        <f t="shared" si="18"/>
        <v>NO</v>
      </c>
      <c r="Q226" s="10">
        <f t="shared" si="19"/>
        <v>0</v>
      </c>
    </row>
    <row r="227" spans="1:17" x14ac:dyDescent="0.2">
      <c r="A227" s="4" t="s">
        <v>740</v>
      </c>
      <c r="B227" s="17" t="str">
        <f t="shared" si="22"/>
        <v>143 Preferential tariff quota</v>
      </c>
      <c r="C227" s="17" t="str">
        <f t="shared" si="20"/>
        <v>FCFS</v>
      </c>
      <c r="D227" s="14">
        <v>43831</v>
      </c>
      <c r="E227" s="14">
        <v>44196</v>
      </c>
      <c r="F227" s="20">
        <f t="shared" si="21"/>
        <v>365</v>
      </c>
      <c r="G227" s="15">
        <v>153000</v>
      </c>
      <c r="H227" s="5" t="s">
        <v>27</v>
      </c>
      <c r="I227" s="10">
        <v>3</v>
      </c>
      <c r="J227" s="10" t="s">
        <v>192</v>
      </c>
      <c r="K227" s="10">
        <v>90</v>
      </c>
      <c r="P227" s="5" t="str">
        <f t="shared" si="18"/>
        <v>NO</v>
      </c>
      <c r="Q227" s="10">
        <f t="shared" si="19"/>
        <v>0</v>
      </c>
    </row>
    <row r="228" spans="1:17" x14ac:dyDescent="0.2">
      <c r="A228" s="4" t="s">
        <v>741</v>
      </c>
      <c r="B228" s="17" t="str">
        <f t="shared" si="22"/>
        <v>143 Preferential tariff quota</v>
      </c>
      <c r="C228" s="17" t="str">
        <f t="shared" si="20"/>
        <v>FCFS</v>
      </c>
      <c r="D228" s="14">
        <v>43831</v>
      </c>
      <c r="E228" s="14">
        <v>44196</v>
      </c>
      <c r="F228" s="20">
        <f t="shared" si="21"/>
        <v>365</v>
      </c>
      <c r="G228" s="15">
        <v>27000</v>
      </c>
      <c r="H228" s="5" t="s">
        <v>27</v>
      </c>
      <c r="I228" s="10">
        <v>3</v>
      </c>
      <c r="J228" s="10" t="s">
        <v>192</v>
      </c>
      <c r="K228" s="10">
        <v>90</v>
      </c>
      <c r="P228" s="5" t="str">
        <f t="shared" si="18"/>
        <v>NO</v>
      </c>
      <c r="Q228" s="10">
        <f t="shared" si="19"/>
        <v>0</v>
      </c>
    </row>
    <row r="229" spans="1:17" x14ac:dyDescent="0.2">
      <c r="A229" s="4" t="s">
        <v>742</v>
      </c>
      <c r="B229" s="17" t="str">
        <f t="shared" si="22"/>
        <v>143 Preferential tariff quota</v>
      </c>
      <c r="C229" s="17" t="str">
        <f t="shared" si="20"/>
        <v>FCFS</v>
      </c>
      <c r="D229" s="14">
        <v>43831</v>
      </c>
      <c r="E229" s="14">
        <v>44196</v>
      </c>
      <c r="F229" s="20">
        <f t="shared" si="21"/>
        <v>365</v>
      </c>
      <c r="G229" s="15">
        <v>1000</v>
      </c>
      <c r="H229" s="5" t="s">
        <v>27</v>
      </c>
      <c r="I229" s="10">
        <v>3</v>
      </c>
      <c r="J229" s="10" t="s">
        <v>192</v>
      </c>
      <c r="K229" s="10">
        <v>90</v>
      </c>
      <c r="P229" s="5" t="str">
        <f t="shared" si="18"/>
        <v>NO</v>
      </c>
      <c r="Q229" s="10">
        <f t="shared" si="19"/>
        <v>0</v>
      </c>
    </row>
    <row r="230" spans="1:17" x14ac:dyDescent="0.2">
      <c r="A230" s="4" t="s">
        <v>743</v>
      </c>
      <c r="B230" s="17" t="str">
        <f t="shared" si="22"/>
        <v>143 Preferential tariff quota</v>
      </c>
      <c r="C230" s="17" t="str">
        <f t="shared" si="20"/>
        <v>FCFS</v>
      </c>
      <c r="D230" s="14">
        <v>43831</v>
      </c>
      <c r="E230" s="14">
        <v>44196</v>
      </c>
      <c r="F230" s="20">
        <f t="shared" si="21"/>
        <v>365</v>
      </c>
      <c r="G230" s="15">
        <v>777000</v>
      </c>
      <c r="H230" s="5" t="s">
        <v>27</v>
      </c>
      <c r="I230" s="10">
        <v>3</v>
      </c>
      <c r="J230" s="10" t="s">
        <v>192</v>
      </c>
      <c r="K230" s="10">
        <v>90</v>
      </c>
      <c r="P230" s="5" t="str">
        <f t="shared" si="18"/>
        <v>NO</v>
      </c>
      <c r="Q230" s="10">
        <f t="shared" si="19"/>
        <v>0</v>
      </c>
    </row>
    <row r="231" spans="1:17" x14ac:dyDescent="0.2">
      <c r="A231" s="4" t="s">
        <v>744</v>
      </c>
      <c r="B231" s="17" t="str">
        <f t="shared" si="22"/>
        <v>143 Preferential tariff quota</v>
      </c>
      <c r="C231" s="17" t="str">
        <f t="shared" si="20"/>
        <v>FCFS</v>
      </c>
      <c r="D231" s="14">
        <v>43586</v>
      </c>
      <c r="E231" s="14">
        <v>43951</v>
      </c>
      <c r="F231" s="20">
        <f t="shared" si="21"/>
        <v>365</v>
      </c>
      <c r="G231" s="15">
        <v>777000</v>
      </c>
      <c r="H231" s="5" t="s">
        <v>27</v>
      </c>
      <c r="I231" s="10">
        <v>3</v>
      </c>
      <c r="J231" s="10" t="s">
        <v>192</v>
      </c>
      <c r="K231" s="10">
        <v>90</v>
      </c>
      <c r="P231" s="5" t="str">
        <f t="shared" si="18"/>
        <v>NO</v>
      </c>
      <c r="Q231" s="10">
        <f t="shared" si="19"/>
        <v>0</v>
      </c>
    </row>
    <row r="232" spans="1:17" x14ac:dyDescent="0.2">
      <c r="A232" s="4" t="s">
        <v>745</v>
      </c>
      <c r="B232" s="17" t="str">
        <f t="shared" si="22"/>
        <v>143 Preferential tariff quota</v>
      </c>
      <c r="C232" s="17" t="str">
        <f t="shared" si="20"/>
        <v>FCFS</v>
      </c>
      <c r="D232" s="14">
        <v>43586</v>
      </c>
      <c r="E232" s="14">
        <v>43951</v>
      </c>
      <c r="F232" s="20">
        <f t="shared" si="21"/>
        <v>365</v>
      </c>
      <c r="G232" s="15">
        <v>1000</v>
      </c>
      <c r="H232" s="5" t="s">
        <v>27</v>
      </c>
      <c r="I232" s="10">
        <v>3</v>
      </c>
      <c r="J232" s="10" t="s">
        <v>192</v>
      </c>
      <c r="K232" s="10">
        <v>90</v>
      </c>
      <c r="P232" s="5" t="str">
        <f t="shared" si="18"/>
        <v>NO</v>
      </c>
      <c r="Q232" s="10">
        <f t="shared" si="19"/>
        <v>0</v>
      </c>
    </row>
    <row r="233" spans="1:17" x14ac:dyDescent="0.2">
      <c r="A233" s="4" t="s">
        <v>746</v>
      </c>
      <c r="B233" s="17" t="str">
        <f t="shared" si="22"/>
        <v>143 Preferential tariff quota</v>
      </c>
      <c r="C233" s="17" t="str">
        <f t="shared" si="20"/>
        <v>FCFS</v>
      </c>
      <c r="D233" s="14">
        <v>43831</v>
      </c>
      <c r="E233" s="14">
        <v>44196</v>
      </c>
      <c r="F233" s="20">
        <f t="shared" si="21"/>
        <v>365</v>
      </c>
      <c r="G233" s="15">
        <v>197000</v>
      </c>
      <c r="H233" s="5" t="s">
        <v>27</v>
      </c>
      <c r="I233" s="10">
        <v>3</v>
      </c>
      <c r="J233" s="10" t="s">
        <v>192</v>
      </c>
      <c r="K233" s="10">
        <v>90</v>
      </c>
      <c r="P233" s="5" t="str">
        <f t="shared" si="18"/>
        <v>NO</v>
      </c>
      <c r="Q233" s="10">
        <f t="shared" si="19"/>
        <v>0</v>
      </c>
    </row>
    <row r="234" spans="1:17" x14ac:dyDescent="0.2">
      <c r="A234" s="4" t="s">
        <v>747</v>
      </c>
      <c r="B234" s="17" t="str">
        <f t="shared" si="22"/>
        <v>143 Preferential tariff quota</v>
      </c>
      <c r="C234" s="17" t="str">
        <f t="shared" si="20"/>
        <v>FCFS</v>
      </c>
      <c r="D234" s="14">
        <v>43831</v>
      </c>
      <c r="E234" s="14">
        <v>44196</v>
      </c>
      <c r="F234" s="20">
        <f t="shared" si="21"/>
        <v>365</v>
      </c>
      <c r="G234" s="15">
        <v>157000</v>
      </c>
      <c r="H234" s="5" t="s">
        <v>27</v>
      </c>
      <c r="I234" s="10">
        <v>3</v>
      </c>
      <c r="J234" s="10" t="s">
        <v>192</v>
      </c>
      <c r="K234" s="10">
        <v>90</v>
      </c>
      <c r="P234" s="5" t="str">
        <f t="shared" si="18"/>
        <v>NO</v>
      </c>
      <c r="Q234" s="10">
        <f t="shared" si="19"/>
        <v>0</v>
      </c>
    </row>
    <row r="235" spans="1:17" x14ac:dyDescent="0.2">
      <c r="A235" s="4" t="s">
        <v>748</v>
      </c>
      <c r="B235" s="17" t="str">
        <f t="shared" si="22"/>
        <v>143 Preferential tariff quota</v>
      </c>
      <c r="C235" s="17" t="str">
        <f t="shared" si="20"/>
        <v>FCFS</v>
      </c>
      <c r="D235" s="14">
        <v>43831</v>
      </c>
      <c r="E235" s="14">
        <v>44196</v>
      </c>
      <c r="F235" s="20">
        <f t="shared" si="21"/>
        <v>365</v>
      </c>
      <c r="G235" s="15">
        <v>964000</v>
      </c>
      <c r="H235" s="5" t="s">
        <v>27</v>
      </c>
      <c r="I235" s="10">
        <v>3</v>
      </c>
      <c r="J235" s="10" t="s">
        <v>192</v>
      </c>
      <c r="K235" s="10">
        <v>90</v>
      </c>
      <c r="P235" s="5" t="str">
        <f t="shared" si="18"/>
        <v>NO</v>
      </c>
      <c r="Q235" s="10">
        <f t="shared" si="19"/>
        <v>0</v>
      </c>
    </row>
    <row r="236" spans="1:17" x14ac:dyDescent="0.2">
      <c r="A236" s="4" t="s">
        <v>749</v>
      </c>
      <c r="B236" s="17" t="str">
        <f t="shared" si="22"/>
        <v>143 Preferential tariff quota</v>
      </c>
      <c r="C236" s="17" t="str">
        <f t="shared" si="20"/>
        <v>FCFS</v>
      </c>
      <c r="D236" s="14">
        <v>43586</v>
      </c>
      <c r="E236" s="14">
        <v>43951</v>
      </c>
      <c r="F236" s="20">
        <f t="shared" si="21"/>
        <v>365</v>
      </c>
      <c r="G236" s="15">
        <v>14000</v>
      </c>
      <c r="H236" s="5" t="s">
        <v>27</v>
      </c>
      <c r="I236" s="10">
        <v>3</v>
      </c>
      <c r="J236" s="10" t="s">
        <v>192</v>
      </c>
      <c r="K236" s="10">
        <v>90</v>
      </c>
      <c r="P236" s="5" t="str">
        <f t="shared" si="18"/>
        <v>NO</v>
      </c>
      <c r="Q236" s="10">
        <f t="shared" si="19"/>
        <v>0</v>
      </c>
    </row>
    <row r="237" spans="1:17" x14ac:dyDescent="0.2">
      <c r="A237" s="4" t="s">
        <v>750</v>
      </c>
      <c r="B237" s="17" t="str">
        <f t="shared" si="22"/>
        <v>143 Preferential tariff quota</v>
      </c>
      <c r="C237" s="17" t="str">
        <f t="shared" si="20"/>
        <v>FCFS</v>
      </c>
      <c r="D237" s="14">
        <v>43586</v>
      </c>
      <c r="E237" s="14">
        <v>43951</v>
      </c>
      <c r="F237" s="20">
        <f t="shared" si="21"/>
        <v>365</v>
      </c>
      <c r="G237" s="15">
        <v>16000</v>
      </c>
      <c r="H237" s="5" t="s">
        <v>27</v>
      </c>
      <c r="I237" s="10">
        <v>3</v>
      </c>
      <c r="J237" s="10" t="s">
        <v>192</v>
      </c>
      <c r="K237" s="10">
        <v>90</v>
      </c>
      <c r="P237" s="5" t="str">
        <f t="shared" si="18"/>
        <v>NO</v>
      </c>
      <c r="Q237" s="10">
        <f t="shared" si="19"/>
        <v>0</v>
      </c>
    </row>
    <row r="238" spans="1:17" x14ac:dyDescent="0.2">
      <c r="A238" s="4" t="s">
        <v>751</v>
      </c>
      <c r="B238" s="17" t="str">
        <f t="shared" si="22"/>
        <v>143 Preferential tariff quota</v>
      </c>
      <c r="C238" s="17" t="str">
        <f t="shared" ref="C238" si="23">IF(LEFT(A238,3)="094","Licensed","FCFS")</f>
        <v>Licensed</v>
      </c>
      <c r="D238" s="14">
        <v>43831</v>
      </c>
      <c r="E238" s="14">
        <v>44196</v>
      </c>
      <c r="F238" s="20">
        <f t="shared" si="21"/>
        <v>365</v>
      </c>
      <c r="G238" s="15">
        <v>56000</v>
      </c>
      <c r="H238" s="5" t="s">
        <v>27</v>
      </c>
      <c r="I238" s="10">
        <v>3</v>
      </c>
      <c r="J238" s="10" t="s">
        <v>192</v>
      </c>
      <c r="K238" s="10">
        <v>90</v>
      </c>
      <c r="P238" s="5" t="str">
        <f t="shared" si="18"/>
        <v>NO</v>
      </c>
      <c r="Q238" s="10">
        <f t="shared" si="19"/>
        <v>0</v>
      </c>
    </row>
    <row r="239" spans="1:17" x14ac:dyDescent="0.2">
      <c r="A239" s="22" t="s">
        <v>883</v>
      </c>
      <c r="B239" s="17" t="str">
        <f t="shared" si="22"/>
        <v>143 Preferential tariff quota</v>
      </c>
      <c r="C239" s="17" t="str">
        <f t="shared" si="20"/>
        <v>FCFS</v>
      </c>
      <c r="D239" s="14">
        <v>43568</v>
      </c>
      <c r="E239" s="14">
        <v>43830</v>
      </c>
      <c r="F239" s="20">
        <f t="shared" si="21"/>
        <v>262</v>
      </c>
      <c r="G239" s="15">
        <v>24000</v>
      </c>
      <c r="H239" s="5" t="s">
        <v>27</v>
      </c>
      <c r="I239" s="10">
        <v>3</v>
      </c>
      <c r="J239" s="10" t="s">
        <v>192</v>
      </c>
      <c r="K239" s="10">
        <v>90</v>
      </c>
      <c r="P239" s="5" t="str">
        <f t="shared" si="18"/>
        <v>IS</v>
      </c>
      <c r="Q239" s="10">
        <f t="shared" si="19"/>
        <v>0</v>
      </c>
    </row>
    <row r="240" spans="1:17" x14ac:dyDescent="0.2">
      <c r="A240" s="4" t="s">
        <v>884</v>
      </c>
      <c r="B240" s="17" t="str">
        <f t="shared" si="22"/>
        <v>143 Preferential tariff quota</v>
      </c>
      <c r="C240" s="17" t="str">
        <f t="shared" si="20"/>
        <v>FCFS</v>
      </c>
      <c r="D240" s="14">
        <v>43568</v>
      </c>
      <c r="E240" s="14">
        <v>43830</v>
      </c>
      <c r="F240" s="20">
        <f t="shared" si="21"/>
        <v>262</v>
      </c>
      <c r="G240" s="15">
        <v>46000</v>
      </c>
      <c r="H240" s="5" t="s">
        <v>27</v>
      </c>
      <c r="I240" s="10">
        <v>3</v>
      </c>
      <c r="J240" s="10" t="s">
        <v>192</v>
      </c>
      <c r="K240" s="10">
        <v>90</v>
      </c>
      <c r="P240" s="5" t="str">
        <f t="shared" si="18"/>
        <v>IS</v>
      </c>
      <c r="Q240" s="10">
        <f t="shared" si="19"/>
        <v>0</v>
      </c>
    </row>
    <row r="241" spans="1:17" x14ac:dyDescent="0.2">
      <c r="A241" s="4" t="s">
        <v>885</v>
      </c>
      <c r="B241" s="17" t="str">
        <f t="shared" si="22"/>
        <v>143 Preferential tariff quota</v>
      </c>
      <c r="C241" s="17" t="str">
        <f t="shared" si="20"/>
        <v>FCFS</v>
      </c>
      <c r="D241" s="14">
        <v>43568</v>
      </c>
      <c r="E241" s="14">
        <v>43830</v>
      </c>
      <c r="F241" s="20">
        <f t="shared" si="21"/>
        <v>262</v>
      </c>
      <c r="G241" s="15">
        <v>3000</v>
      </c>
      <c r="H241" s="5" t="s">
        <v>27</v>
      </c>
      <c r="I241" s="10">
        <v>3</v>
      </c>
      <c r="J241" s="10" t="s">
        <v>192</v>
      </c>
      <c r="K241" s="10">
        <v>90</v>
      </c>
      <c r="P241" s="5" t="str">
        <f t="shared" si="18"/>
        <v>IS</v>
      </c>
      <c r="Q241" s="10">
        <f t="shared" si="19"/>
        <v>0</v>
      </c>
    </row>
    <row r="242" spans="1:17" x14ac:dyDescent="0.2">
      <c r="A242" s="4" t="s">
        <v>886</v>
      </c>
      <c r="B242" s="17" t="str">
        <f t="shared" si="22"/>
        <v>143 Preferential tariff quota</v>
      </c>
      <c r="C242" s="17" t="str">
        <f t="shared" si="20"/>
        <v>FCFS</v>
      </c>
      <c r="D242" s="14">
        <v>43568</v>
      </c>
      <c r="E242" s="14">
        <v>43585</v>
      </c>
      <c r="F242" s="20">
        <f t="shared" si="21"/>
        <v>17</v>
      </c>
      <c r="G242" s="15">
        <v>1000</v>
      </c>
      <c r="H242" s="5" t="s">
        <v>27</v>
      </c>
      <c r="I242" s="10">
        <v>3</v>
      </c>
      <c r="J242" s="10" t="s">
        <v>192</v>
      </c>
      <c r="K242" s="10">
        <v>90</v>
      </c>
      <c r="P242" s="5" t="str">
        <f t="shared" si="18"/>
        <v>IS</v>
      </c>
      <c r="Q242" s="10">
        <f t="shared" si="19"/>
        <v>0</v>
      </c>
    </row>
    <row r="243" spans="1:17" x14ac:dyDescent="0.2">
      <c r="A243" s="4" t="s">
        <v>887</v>
      </c>
      <c r="B243" s="17" t="str">
        <f t="shared" si="22"/>
        <v>143 Preferential tariff quota</v>
      </c>
      <c r="C243" s="17" t="str">
        <f t="shared" si="20"/>
        <v>FCFS</v>
      </c>
      <c r="D243" s="14">
        <v>43568</v>
      </c>
      <c r="E243" s="14">
        <v>43585</v>
      </c>
      <c r="F243" s="20">
        <f t="shared" si="21"/>
        <v>17</v>
      </c>
      <c r="G243" s="15">
        <v>2000</v>
      </c>
      <c r="H243" s="5" t="s">
        <v>27</v>
      </c>
      <c r="I243" s="10">
        <v>3</v>
      </c>
      <c r="J243" s="10" t="s">
        <v>192</v>
      </c>
      <c r="K243" s="10">
        <v>90</v>
      </c>
      <c r="P243" s="5" t="str">
        <f t="shared" si="18"/>
        <v>IS</v>
      </c>
      <c r="Q243" s="10">
        <f t="shared" si="19"/>
        <v>0</v>
      </c>
    </row>
    <row r="244" spans="1:17" x14ac:dyDescent="0.2">
      <c r="A244" s="4" t="s">
        <v>888</v>
      </c>
      <c r="B244" s="17" t="str">
        <f t="shared" si="22"/>
        <v>143 Preferential tariff quota</v>
      </c>
      <c r="C244" s="17" t="str">
        <f t="shared" si="20"/>
        <v>FCFS</v>
      </c>
      <c r="D244" s="14">
        <v>43568</v>
      </c>
      <c r="E244" s="14">
        <v>43830</v>
      </c>
      <c r="F244" s="20">
        <f t="shared" si="21"/>
        <v>262</v>
      </c>
      <c r="G244" s="15">
        <v>499000</v>
      </c>
      <c r="H244" s="5" t="s">
        <v>27</v>
      </c>
      <c r="I244" s="10">
        <v>3</v>
      </c>
      <c r="J244" s="10" t="s">
        <v>192</v>
      </c>
      <c r="K244" s="10">
        <v>90</v>
      </c>
      <c r="P244" s="5" t="str">
        <f t="shared" si="18"/>
        <v>IS</v>
      </c>
      <c r="Q244" s="10">
        <f t="shared" si="19"/>
        <v>0</v>
      </c>
    </row>
    <row r="245" spans="1:17" x14ac:dyDescent="0.2">
      <c r="A245" s="4" t="s">
        <v>889</v>
      </c>
      <c r="B245" s="17" t="str">
        <f t="shared" si="22"/>
        <v>143 Preferential tariff quota</v>
      </c>
      <c r="C245" s="17" t="str">
        <f t="shared" si="20"/>
        <v>Licensed</v>
      </c>
      <c r="D245" s="14">
        <v>43568</v>
      </c>
      <c r="E245" s="14">
        <v>43830</v>
      </c>
      <c r="F245" s="20">
        <f t="shared" si="21"/>
        <v>262</v>
      </c>
      <c r="G245" s="15">
        <v>36000</v>
      </c>
      <c r="H245" s="5" t="s">
        <v>27</v>
      </c>
      <c r="I245" s="10">
        <v>3</v>
      </c>
      <c r="J245" s="10" t="s">
        <v>192</v>
      </c>
      <c r="K245" s="10">
        <v>90</v>
      </c>
      <c r="P245" s="5" t="str">
        <f t="shared" si="18"/>
        <v>IS</v>
      </c>
      <c r="Q245" s="10">
        <f t="shared" si="19"/>
        <v>0</v>
      </c>
    </row>
    <row r="246" spans="1:17" x14ac:dyDescent="0.2">
      <c r="A246" s="22" t="s">
        <v>883</v>
      </c>
      <c r="B246" s="17" t="str">
        <f t="shared" si="22"/>
        <v>143 Preferential tariff quota</v>
      </c>
      <c r="C246" s="17" t="str">
        <f t="shared" si="20"/>
        <v>FCFS</v>
      </c>
      <c r="D246" s="14">
        <v>43831</v>
      </c>
      <c r="E246" s="14">
        <v>44196</v>
      </c>
      <c r="F246" s="20">
        <f t="shared" si="21"/>
        <v>365</v>
      </c>
      <c r="G246" s="15">
        <v>33000</v>
      </c>
      <c r="H246" s="5" t="s">
        <v>27</v>
      </c>
      <c r="I246" s="10">
        <v>3</v>
      </c>
      <c r="J246" s="10" t="s">
        <v>192</v>
      </c>
      <c r="K246" s="10">
        <v>90</v>
      </c>
      <c r="P246" s="5" t="str">
        <f t="shared" si="18"/>
        <v>IS</v>
      </c>
      <c r="Q246" s="10">
        <f t="shared" si="19"/>
        <v>0</v>
      </c>
    </row>
    <row r="247" spans="1:17" x14ac:dyDescent="0.2">
      <c r="A247" s="4" t="s">
        <v>884</v>
      </c>
      <c r="B247" s="17" t="str">
        <f t="shared" si="22"/>
        <v>143 Preferential tariff quota</v>
      </c>
      <c r="C247" s="17" t="str">
        <f t="shared" si="20"/>
        <v>FCFS</v>
      </c>
      <c r="D247" s="14">
        <v>43831</v>
      </c>
      <c r="E247" s="14">
        <v>44196</v>
      </c>
      <c r="F247" s="20">
        <f t="shared" si="21"/>
        <v>365</v>
      </c>
      <c r="G247" s="15">
        <v>64000</v>
      </c>
      <c r="H247" s="5" t="s">
        <v>27</v>
      </c>
      <c r="I247" s="10">
        <v>3</v>
      </c>
      <c r="J247" s="10" t="s">
        <v>192</v>
      </c>
      <c r="K247" s="10">
        <v>90</v>
      </c>
      <c r="P247" s="5" t="str">
        <f t="shared" si="18"/>
        <v>IS</v>
      </c>
      <c r="Q247" s="10">
        <f t="shared" si="19"/>
        <v>0</v>
      </c>
    </row>
    <row r="248" spans="1:17" x14ac:dyDescent="0.2">
      <c r="A248" s="4" t="s">
        <v>885</v>
      </c>
      <c r="B248" s="17" t="str">
        <f t="shared" si="22"/>
        <v>143 Preferential tariff quota</v>
      </c>
      <c r="C248" s="17" t="str">
        <f t="shared" si="20"/>
        <v>FCFS</v>
      </c>
      <c r="D248" s="14">
        <v>43831</v>
      </c>
      <c r="E248" s="14">
        <v>44196</v>
      </c>
      <c r="F248" s="20">
        <f t="shared" si="21"/>
        <v>365</v>
      </c>
      <c r="G248" s="15">
        <v>4000</v>
      </c>
      <c r="H248" s="5" t="s">
        <v>27</v>
      </c>
      <c r="I248" s="10">
        <v>3</v>
      </c>
      <c r="J248" s="10" t="s">
        <v>192</v>
      </c>
      <c r="K248" s="10">
        <v>90</v>
      </c>
      <c r="P248" s="5" t="str">
        <f t="shared" si="18"/>
        <v>IS</v>
      </c>
      <c r="Q248" s="10">
        <f t="shared" si="19"/>
        <v>0</v>
      </c>
    </row>
    <row r="249" spans="1:17" x14ac:dyDescent="0.2">
      <c r="A249" s="4" t="s">
        <v>886</v>
      </c>
      <c r="B249" s="17" t="str">
        <f t="shared" si="22"/>
        <v>143 Preferential tariff quota</v>
      </c>
      <c r="C249" s="17" t="str">
        <f t="shared" si="20"/>
        <v>FCFS</v>
      </c>
      <c r="D249" s="14">
        <v>43586</v>
      </c>
      <c r="E249" s="14">
        <v>43951</v>
      </c>
      <c r="F249" s="20">
        <f t="shared" si="21"/>
        <v>365</v>
      </c>
      <c r="G249" s="15">
        <v>11000</v>
      </c>
      <c r="H249" s="5" t="s">
        <v>27</v>
      </c>
      <c r="I249" s="10">
        <v>3</v>
      </c>
      <c r="J249" s="10" t="s">
        <v>192</v>
      </c>
      <c r="K249" s="10">
        <v>90</v>
      </c>
      <c r="P249" s="5" t="str">
        <f t="shared" si="18"/>
        <v>IS</v>
      </c>
      <c r="Q249" s="10">
        <f t="shared" si="19"/>
        <v>0</v>
      </c>
    </row>
    <row r="250" spans="1:17" x14ac:dyDescent="0.2">
      <c r="A250" s="4" t="s">
        <v>887</v>
      </c>
      <c r="B250" s="17" t="str">
        <f t="shared" si="22"/>
        <v>143 Preferential tariff quota</v>
      </c>
      <c r="C250" s="17" t="str">
        <f t="shared" si="20"/>
        <v>FCFS</v>
      </c>
      <c r="D250" s="14">
        <v>43586</v>
      </c>
      <c r="E250" s="14">
        <v>43951</v>
      </c>
      <c r="F250" s="20">
        <f t="shared" si="21"/>
        <v>365</v>
      </c>
      <c r="G250" s="15">
        <v>33000</v>
      </c>
      <c r="H250" s="5" t="s">
        <v>27</v>
      </c>
      <c r="I250" s="10">
        <v>3</v>
      </c>
      <c r="J250" s="10" t="s">
        <v>192</v>
      </c>
      <c r="K250" s="10">
        <v>90</v>
      </c>
      <c r="P250" s="5" t="str">
        <f t="shared" si="18"/>
        <v>IS</v>
      </c>
      <c r="Q250" s="10">
        <f t="shared" si="19"/>
        <v>0</v>
      </c>
    </row>
    <row r="251" spans="1:17" x14ac:dyDescent="0.2">
      <c r="A251" s="4" t="s">
        <v>888</v>
      </c>
      <c r="B251" s="17" t="str">
        <f t="shared" si="22"/>
        <v>143 Preferential tariff quota</v>
      </c>
      <c r="C251" s="17" t="str">
        <f t="shared" si="20"/>
        <v>FCFS</v>
      </c>
      <c r="D251" s="14">
        <v>43831</v>
      </c>
      <c r="E251" s="14">
        <v>44196</v>
      </c>
      <c r="F251" s="20">
        <f t="shared" si="21"/>
        <v>365</v>
      </c>
      <c r="G251" s="15">
        <v>692000</v>
      </c>
      <c r="H251" s="5" t="s">
        <v>27</v>
      </c>
      <c r="I251" s="10">
        <v>3</v>
      </c>
      <c r="J251" s="10" t="s">
        <v>192</v>
      </c>
      <c r="K251" s="10">
        <v>90</v>
      </c>
      <c r="P251" s="5" t="str">
        <f t="shared" si="18"/>
        <v>IS</v>
      </c>
      <c r="Q251" s="10">
        <f t="shared" si="19"/>
        <v>0</v>
      </c>
    </row>
    <row r="252" spans="1:17" x14ac:dyDescent="0.2">
      <c r="A252" s="4" t="s">
        <v>889</v>
      </c>
      <c r="B252" s="17" t="str">
        <f t="shared" si="22"/>
        <v>143 Preferential tariff quota</v>
      </c>
      <c r="C252" s="17" t="str">
        <f t="shared" ref="C252" si="24">IF(LEFT(A252,3)="094","Licensed","FCFS")</f>
        <v>Licensed</v>
      </c>
      <c r="D252" s="14">
        <v>43831</v>
      </c>
      <c r="E252" s="14">
        <v>44196</v>
      </c>
      <c r="F252" s="20">
        <f t="shared" si="21"/>
        <v>365</v>
      </c>
      <c r="G252" s="15">
        <v>330000</v>
      </c>
      <c r="H252" s="5" t="s">
        <v>27</v>
      </c>
      <c r="I252" s="10">
        <v>3</v>
      </c>
      <c r="J252" s="10" t="s">
        <v>192</v>
      </c>
      <c r="K252" s="10">
        <v>90</v>
      </c>
      <c r="P252" s="5" t="str">
        <f t="shared" si="18"/>
        <v>IS</v>
      </c>
      <c r="Q252" s="10">
        <f>VLOOKUP(A252, quota_order_numbers2, 2, FALSE)</f>
        <v>0</v>
      </c>
    </row>
    <row r="253" spans="1:17" x14ac:dyDescent="0.2">
      <c r="A253" s="4" t="s">
        <v>949</v>
      </c>
      <c r="B253" s="17" t="str">
        <f t="shared" si="22"/>
        <v>143 Preferential tariff quota</v>
      </c>
      <c r="C253" s="17" t="str">
        <f t="shared" si="20"/>
        <v>FCFS</v>
      </c>
      <c r="D253" s="14">
        <v>43568</v>
      </c>
      <c r="E253" s="14">
        <v>43830</v>
      </c>
      <c r="F253" s="20">
        <f t="shared" si="21"/>
        <v>262</v>
      </c>
      <c r="G253" s="15">
        <v>147000</v>
      </c>
      <c r="H253" s="5" t="s">
        <v>27</v>
      </c>
      <c r="I253" s="10">
        <v>3</v>
      </c>
      <c r="J253" s="10" t="s">
        <v>192</v>
      </c>
      <c r="K253" s="10">
        <v>90</v>
      </c>
      <c r="P253" s="5" t="str">
        <f t="shared" si="18"/>
        <v>MA</v>
      </c>
      <c r="Q253" s="10" t="str">
        <f t="shared" si="19"/>
        <v>Y</v>
      </c>
    </row>
    <row r="254" spans="1:17" x14ac:dyDescent="0.2">
      <c r="A254" s="4" t="s">
        <v>950</v>
      </c>
      <c r="B254" s="17" t="str">
        <f t="shared" si="22"/>
        <v>143 Preferential tariff quota</v>
      </c>
      <c r="C254" s="17" t="str">
        <f t="shared" si="20"/>
        <v>FCFS</v>
      </c>
      <c r="D254" s="14">
        <v>43586</v>
      </c>
      <c r="E254" s="14">
        <v>43616</v>
      </c>
      <c r="F254" s="20">
        <f t="shared" si="21"/>
        <v>30</v>
      </c>
      <c r="G254" s="15">
        <v>136000</v>
      </c>
      <c r="H254" s="5" t="s">
        <v>27</v>
      </c>
      <c r="I254" s="10">
        <v>3</v>
      </c>
      <c r="J254" s="10" t="s">
        <v>192</v>
      </c>
      <c r="K254" s="10">
        <v>90</v>
      </c>
      <c r="P254" s="5" t="str">
        <f t="shared" si="18"/>
        <v>MA</v>
      </c>
      <c r="Q254" s="10" t="str">
        <f t="shared" si="19"/>
        <v>Y</v>
      </c>
    </row>
    <row r="255" spans="1:17" x14ac:dyDescent="0.2">
      <c r="A255" s="4" t="s">
        <v>951</v>
      </c>
      <c r="B255" s="17" t="str">
        <f t="shared" si="22"/>
        <v>143 Preferential tariff quota</v>
      </c>
      <c r="C255" s="17" t="str">
        <f t="shared" si="20"/>
        <v>FCFS</v>
      </c>
      <c r="D255" s="14">
        <v>43568</v>
      </c>
      <c r="E255" s="14">
        <v>44196</v>
      </c>
      <c r="F255" s="20">
        <f t="shared" si="21"/>
        <v>628</v>
      </c>
      <c r="G255" s="15">
        <v>59000</v>
      </c>
      <c r="H255" s="5" t="s">
        <v>27</v>
      </c>
      <c r="I255" s="10">
        <v>3</v>
      </c>
      <c r="J255" s="10" t="s">
        <v>192</v>
      </c>
      <c r="K255" s="10">
        <v>90</v>
      </c>
      <c r="P255" s="5" t="str">
        <f t="shared" si="18"/>
        <v>MA</v>
      </c>
      <c r="Q255" s="10" t="str">
        <f t="shared" si="19"/>
        <v>Y</v>
      </c>
    </row>
    <row r="256" spans="1:17" x14ac:dyDescent="0.2">
      <c r="A256" s="4" t="s">
        <v>952</v>
      </c>
      <c r="B256" s="17" t="str">
        <f t="shared" si="22"/>
        <v>143 Preferential tariff quota</v>
      </c>
      <c r="C256" s="17" t="str">
        <f t="shared" si="20"/>
        <v>FCFS</v>
      </c>
      <c r="D256" s="14">
        <v>43568</v>
      </c>
      <c r="E256" s="14">
        <v>43616</v>
      </c>
      <c r="F256" s="20">
        <f t="shared" si="21"/>
        <v>48</v>
      </c>
      <c r="G256" s="15">
        <v>9075000</v>
      </c>
      <c r="H256" s="5" t="s">
        <v>27</v>
      </c>
      <c r="I256" s="10">
        <v>3</v>
      </c>
      <c r="J256" s="10" t="s">
        <v>192</v>
      </c>
      <c r="K256" s="10">
        <v>90</v>
      </c>
      <c r="P256" s="5" t="str">
        <f t="shared" si="18"/>
        <v>MA</v>
      </c>
      <c r="Q256" s="10" t="str">
        <f t="shared" si="19"/>
        <v>Y</v>
      </c>
    </row>
    <row r="257" spans="1:17" x14ac:dyDescent="0.2">
      <c r="A257" s="4" t="s">
        <v>953</v>
      </c>
      <c r="B257" s="17" t="str">
        <f t="shared" si="22"/>
        <v>143 Preferential tariff quota</v>
      </c>
      <c r="C257" s="17" t="str">
        <f t="shared" si="20"/>
        <v>FCFS</v>
      </c>
      <c r="D257" s="14">
        <v>43568</v>
      </c>
      <c r="E257" s="14">
        <v>43585</v>
      </c>
      <c r="F257" s="20">
        <f t="shared" si="21"/>
        <v>17</v>
      </c>
      <c r="G257" s="15">
        <v>294000</v>
      </c>
      <c r="H257" s="5" t="s">
        <v>27</v>
      </c>
      <c r="I257" s="10">
        <v>3</v>
      </c>
      <c r="J257" s="10" t="s">
        <v>192</v>
      </c>
      <c r="K257" s="10">
        <v>90</v>
      </c>
      <c r="P257" s="5" t="str">
        <f t="shared" si="18"/>
        <v>MA</v>
      </c>
      <c r="Q257" s="10" t="str">
        <f t="shared" si="19"/>
        <v>Y</v>
      </c>
    </row>
    <row r="258" spans="1:17" x14ac:dyDescent="0.2">
      <c r="A258" s="4" t="s">
        <v>954</v>
      </c>
      <c r="B258" s="17" t="str">
        <f t="shared" si="22"/>
        <v>143 Preferential tariff quota</v>
      </c>
      <c r="C258" s="17" t="str">
        <f t="shared" si="20"/>
        <v>FCFS</v>
      </c>
      <c r="D258" s="14">
        <v>43770</v>
      </c>
      <c r="E258" s="14">
        <v>43890</v>
      </c>
      <c r="F258" s="20">
        <f t="shared" si="21"/>
        <v>120</v>
      </c>
      <c r="G258" s="15">
        <v>23835000</v>
      </c>
      <c r="H258" s="5" t="s">
        <v>27</v>
      </c>
      <c r="I258" s="10">
        <v>3</v>
      </c>
      <c r="J258" s="10" t="s">
        <v>192</v>
      </c>
      <c r="K258" s="10">
        <v>90</v>
      </c>
      <c r="P258" s="5" t="str">
        <f t="shared" ref="P258:P321" si="25">VLOOKUP(A258, quota_order_numbers2, 6, FALSE)</f>
        <v>MA</v>
      </c>
      <c r="Q258" s="10" t="str">
        <f t="shared" ref="Q258:Q321" si="26">VLOOKUP(A258, quota_order_numbers2, 2, FALSE)</f>
        <v>Y</v>
      </c>
    </row>
    <row r="259" spans="1:17" x14ac:dyDescent="0.2">
      <c r="A259" s="4" t="s">
        <v>955</v>
      </c>
      <c r="B259" s="17" t="str">
        <f t="shared" si="22"/>
        <v>143 Preferential tariff quota</v>
      </c>
      <c r="C259" s="17" t="str">
        <f t="shared" si="20"/>
        <v>FCFS</v>
      </c>
      <c r="D259" s="14">
        <v>43568</v>
      </c>
      <c r="E259" s="14">
        <v>43575</v>
      </c>
      <c r="F259" s="20">
        <f t="shared" si="21"/>
        <v>7</v>
      </c>
      <c r="G259" s="15">
        <v>302000</v>
      </c>
      <c r="H259" s="5" t="s">
        <v>27</v>
      </c>
      <c r="I259" s="10">
        <v>3</v>
      </c>
      <c r="J259" s="10" t="s">
        <v>192</v>
      </c>
      <c r="K259" s="10">
        <v>90</v>
      </c>
      <c r="P259" s="5" t="str">
        <f t="shared" si="25"/>
        <v>MA</v>
      </c>
      <c r="Q259" s="10" t="str">
        <f t="shared" si="26"/>
        <v>Y</v>
      </c>
    </row>
    <row r="260" spans="1:17" x14ac:dyDescent="0.2">
      <c r="A260" s="4" t="s">
        <v>956</v>
      </c>
      <c r="B260" s="17" t="str">
        <f t="shared" si="22"/>
        <v>143 Preferential tariff quota</v>
      </c>
      <c r="C260" s="17" t="str">
        <f t="shared" si="20"/>
        <v>FCFS</v>
      </c>
      <c r="D260" s="14">
        <v>43568</v>
      </c>
      <c r="E260" s="14">
        <v>43616</v>
      </c>
      <c r="F260" s="20">
        <f t="shared" si="21"/>
        <v>48</v>
      </c>
      <c r="G260" s="15">
        <v>529000</v>
      </c>
      <c r="H260" s="5" t="s">
        <v>27</v>
      </c>
      <c r="I260" s="10">
        <v>3</v>
      </c>
      <c r="J260" s="10" t="s">
        <v>192</v>
      </c>
      <c r="K260" s="10">
        <v>90</v>
      </c>
      <c r="P260" s="5" t="str">
        <f t="shared" si="25"/>
        <v>MA</v>
      </c>
      <c r="Q260" s="10" t="str">
        <f t="shared" si="26"/>
        <v>Y</v>
      </c>
    </row>
    <row r="261" spans="1:17" x14ac:dyDescent="0.2">
      <c r="A261" s="4" t="s">
        <v>957</v>
      </c>
      <c r="B261" s="17" t="str">
        <f t="shared" si="22"/>
        <v>143 Preferential tariff quota</v>
      </c>
      <c r="C261" s="17" t="str">
        <f t="shared" si="20"/>
        <v>FCFS</v>
      </c>
      <c r="D261" s="14">
        <v>43568</v>
      </c>
      <c r="E261" s="14">
        <v>43616</v>
      </c>
      <c r="F261" s="20">
        <f t="shared" si="21"/>
        <v>48</v>
      </c>
      <c r="G261" s="15">
        <v>989000</v>
      </c>
      <c r="H261" s="5" t="s">
        <v>27</v>
      </c>
      <c r="I261" s="10">
        <v>3</v>
      </c>
      <c r="J261" s="10" t="s">
        <v>192</v>
      </c>
      <c r="K261" s="10">
        <v>90</v>
      </c>
      <c r="P261" s="5" t="str">
        <f t="shared" si="25"/>
        <v>MA</v>
      </c>
      <c r="Q261" s="10" t="str">
        <f t="shared" si="26"/>
        <v>Y</v>
      </c>
    </row>
    <row r="262" spans="1:17" x14ac:dyDescent="0.2">
      <c r="A262" s="22" t="s">
        <v>949</v>
      </c>
      <c r="B262" s="17" t="str">
        <f t="shared" si="22"/>
        <v>143 Preferential tariff quota</v>
      </c>
      <c r="C262" s="17" t="str">
        <f t="shared" si="20"/>
        <v>FCFS</v>
      </c>
      <c r="D262" s="14">
        <v>43831</v>
      </c>
      <c r="E262" s="14">
        <v>44196</v>
      </c>
      <c r="F262" s="20">
        <f t="shared" ref="F262:F325" si="27">DATEDIF(D262, E262, "d")</f>
        <v>365</v>
      </c>
      <c r="G262" s="15">
        <v>147000</v>
      </c>
      <c r="H262" s="5" t="s">
        <v>27</v>
      </c>
      <c r="I262" s="10">
        <v>3</v>
      </c>
      <c r="J262" s="10" t="s">
        <v>192</v>
      </c>
      <c r="K262" s="10">
        <v>90</v>
      </c>
      <c r="P262" s="5" t="str">
        <f t="shared" si="25"/>
        <v>MA</v>
      </c>
      <c r="Q262" s="10" t="str">
        <f t="shared" si="26"/>
        <v>Y</v>
      </c>
    </row>
    <row r="263" spans="1:17" x14ac:dyDescent="0.2">
      <c r="A263" s="4" t="s">
        <v>950</v>
      </c>
      <c r="B263" s="17" t="str">
        <f t="shared" si="22"/>
        <v>143 Preferential tariff quota</v>
      </c>
      <c r="C263" s="17" t="str">
        <f t="shared" si="20"/>
        <v>FCFS</v>
      </c>
      <c r="D263" s="14">
        <v>43952</v>
      </c>
      <c r="E263" s="14">
        <v>43982</v>
      </c>
      <c r="F263" s="20">
        <f t="shared" si="27"/>
        <v>30</v>
      </c>
      <c r="G263" s="15">
        <v>136000</v>
      </c>
      <c r="H263" s="5" t="s">
        <v>27</v>
      </c>
      <c r="I263" s="10">
        <v>3</v>
      </c>
      <c r="J263" s="10" t="s">
        <v>192</v>
      </c>
      <c r="K263" s="10">
        <v>90</v>
      </c>
      <c r="P263" s="5" t="str">
        <f t="shared" si="25"/>
        <v>MA</v>
      </c>
      <c r="Q263" s="10" t="str">
        <f t="shared" si="26"/>
        <v>Y</v>
      </c>
    </row>
    <row r="264" spans="1:17" x14ac:dyDescent="0.2">
      <c r="A264" s="4" t="s">
        <v>951</v>
      </c>
      <c r="B264" s="17" t="str">
        <f t="shared" si="22"/>
        <v>143 Preferential tariff quota</v>
      </c>
      <c r="C264" s="17" t="str">
        <f t="shared" si="20"/>
        <v>FCFS</v>
      </c>
      <c r="D264" s="14">
        <v>43831</v>
      </c>
      <c r="E264" s="14">
        <v>44196</v>
      </c>
      <c r="F264" s="20">
        <f t="shared" si="27"/>
        <v>365</v>
      </c>
      <c r="G264" s="15">
        <v>59000</v>
      </c>
      <c r="H264" s="5" t="s">
        <v>27</v>
      </c>
      <c r="I264" s="10">
        <v>3</v>
      </c>
      <c r="J264" s="10" t="s">
        <v>192</v>
      </c>
      <c r="K264" s="10">
        <v>90</v>
      </c>
      <c r="P264" s="5" t="str">
        <f t="shared" si="25"/>
        <v>MA</v>
      </c>
      <c r="Q264" s="10" t="str">
        <f t="shared" si="26"/>
        <v>Y</v>
      </c>
    </row>
    <row r="265" spans="1:17" x14ac:dyDescent="0.2">
      <c r="A265" s="4" t="s">
        <v>952</v>
      </c>
      <c r="B265" s="17" t="str">
        <f t="shared" si="22"/>
        <v>143 Preferential tariff quota</v>
      </c>
      <c r="C265" s="17" t="str">
        <f t="shared" ref="C265:C314" si="28">IF(LEFT(A265,3)="094","Licensed","FCFS")</f>
        <v>FCFS</v>
      </c>
      <c r="D265" s="14">
        <v>43770</v>
      </c>
      <c r="E265" s="14">
        <v>43982</v>
      </c>
      <c r="F265" s="20">
        <f t="shared" si="27"/>
        <v>212</v>
      </c>
      <c r="G265" s="15">
        <v>9075000</v>
      </c>
      <c r="H265" s="5" t="s">
        <v>27</v>
      </c>
      <c r="I265" s="10">
        <v>3</v>
      </c>
      <c r="J265" s="10" t="s">
        <v>192</v>
      </c>
      <c r="K265" s="10">
        <v>90</v>
      </c>
      <c r="P265" s="5" t="str">
        <f t="shared" si="25"/>
        <v>MA</v>
      </c>
      <c r="Q265" s="10" t="str">
        <f t="shared" si="26"/>
        <v>Y</v>
      </c>
    </row>
    <row r="266" spans="1:17" x14ac:dyDescent="0.2">
      <c r="A266" s="4" t="s">
        <v>953</v>
      </c>
      <c r="B266" s="17" t="str">
        <f t="shared" si="22"/>
        <v>143 Preferential tariff quota</v>
      </c>
      <c r="C266" s="17" t="str">
        <f t="shared" si="28"/>
        <v>FCFS</v>
      </c>
      <c r="D266" s="14">
        <v>43922</v>
      </c>
      <c r="E266" s="14">
        <v>43951</v>
      </c>
      <c r="F266" s="20">
        <f t="shared" si="27"/>
        <v>29</v>
      </c>
      <c r="G266" s="15">
        <v>294000</v>
      </c>
      <c r="H266" s="5" t="s">
        <v>27</v>
      </c>
      <c r="I266" s="10">
        <v>3</v>
      </c>
      <c r="J266" s="10" t="s">
        <v>192</v>
      </c>
      <c r="K266" s="10">
        <v>90</v>
      </c>
      <c r="P266" s="5" t="str">
        <f t="shared" si="25"/>
        <v>MA</v>
      </c>
      <c r="Q266" s="10" t="str">
        <f t="shared" si="26"/>
        <v>Y</v>
      </c>
    </row>
    <row r="267" spans="1:17" x14ac:dyDescent="0.2">
      <c r="A267" s="4" t="s">
        <v>954</v>
      </c>
      <c r="B267" s="17" t="str">
        <f t="shared" si="22"/>
        <v>143 Preferential tariff quota</v>
      </c>
      <c r="C267" s="17" t="str">
        <f t="shared" si="28"/>
        <v>FCFS</v>
      </c>
      <c r="D267" s="14">
        <v>44136</v>
      </c>
      <c r="E267" s="14">
        <v>44255</v>
      </c>
      <c r="F267" s="20">
        <f t="shared" si="27"/>
        <v>119</v>
      </c>
      <c r="G267" s="15">
        <v>23835000</v>
      </c>
      <c r="H267" s="5" t="s">
        <v>27</v>
      </c>
      <c r="I267" s="10">
        <v>3</v>
      </c>
      <c r="J267" s="10" t="s">
        <v>192</v>
      </c>
      <c r="K267" s="10">
        <v>90</v>
      </c>
      <c r="P267" s="5" t="str">
        <f t="shared" si="25"/>
        <v>MA</v>
      </c>
      <c r="Q267" s="10" t="str">
        <f t="shared" si="26"/>
        <v>Y</v>
      </c>
    </row>
    <row r="268" spans="1:17" x14ac:dyDescent="0.2">
      <c r="A268" s="4" t="s">
        <v>955</v>
      </c>
      <c r="B268" s="17" t="str">
        <f t="shared" si="22"/>
        <v>143 Preferential tariff quota</v>
      </c>
      <c r="C268" s="17" t="str">
        <f t="shared" si="28"/>
        <v>FCFS</v>
      </c>
      <c r="D268" s="14">
        <v>43739</v>
      </c>
      <c r="E268" s="14">
        <v>43941</v>
      </c>
      <c r="F268" s="20">
        <f t="shared" si="27"/>
        <v>202</v>
      </c>
      <c r="G268" s="15">
        <v>302000</v>
      </c>
      <c r="H268" s="5" t="s">
        <v>27</v>
      </c>
      <c r="I268" s="10">
        <v>3</v>
      </c>
      <c r="J268" s="10" t="s">
        <v>192</v>
      </c>
      <c r="K268" s="10">
        <v>90</v>
      </c>
      <c r="P268" s="5" t="str">
        <f t="shared" si="25"/>
        <v>MA</v>
      </c>
      <c r="Q268" s="10" t="str">
        <f t="shared" si="26"/>
        <v>Y</v>
      </c>
    </row>
    <row r="269" spans="1:17" x14ac:dyDescent="0.2">
      <c r="A269" s="4" t="s">
        <v>956</v>
      </c>
      <c r="B269" s="17" t="str">
        <f t="shared" si="22"/>
        <v>143 Preferential tariff quota</v>
      </c>
      <c r="C269" s="17" t="str">
        <f t="shared" si="28"/>
        <v>FCFS</v>
      </c>
      <c r="D269" s="14">
        <v>43770</v>
      </c>
      <c r="E269" s="14">
        <v>43982</v>
      </c>
      <c r="F269" s="20">
        <f t="shared" si="27"/>
        <v>212</v>
      </c>
      <c r="G269" s="15">
        <v>529000</v>
      </c>
      <c r="H269" s="5" t="s">
        <v>27</v>
      </c>
      <c r="I269" s="10">
        <v>3</v>
      </c>
      <c r="J269" s="10" t="s">
        <v>192</v>
      </c>
      <c r="K269" s="10">
        <v>90</v>
      </c>
      <c r="P269" s="5" t="str">
        <f t="shared" si="25"/>
        <v>MA</v>
      </c>
      <c r="Q269" s="10" t="str">
        <f t="shared" si="26"/>
        <v>Y</v>
      </c>
    </row>
    <row r="270" spans="1:17" x14ac:dyDescent="0.2">
      <c r="A270" s="4" t="s">
        <v>957</v>
      </c>
      <c r="B270" s="17" t="str">
        <f t="shared" ref="B270" si="29">VLOOKUP(A270, quota_order_numbers2, 5, FALSE)</f>
        <v>143 Preferential tariff quota</v>
      </c>
      <c r="C270" s="17" t="str">
        <f t="shared" si="28"/>
        <v>FCFS</v>
      </c>
      <c r="D270" s="14">
        <v>43770</v>
      </c>
      <c r="E270" s="14">
        <v>43982</v>
      </c>
      <c r="F270" s="20">
        <f t="shared" si="27"/>
        <v>212</v>
      </c>
      <c r="G270" s="15">
        <v>989000</v>
      </c>
      <c r="H270" s="5" t="s">
        <v>27</v>
      </c>
      <c r="I270" s="10">
        <v>3</v>
      </c>
      <c r="J270" s="10" t="s">
        <v>192</v>
      </c>
      <c r="K270" s="10">
        <v>90</v>
      </c>
      <c r="P270" s="5" t="str">
        <f t="shared" si="25"/>
        <v>MA</v>
      </c>
      <c r="Q270" s="10" t="str">
        <f t="shared" si="26"/>
        <v>Y</v>
      </c>
    </row>
    <row r="271" spans="1:17" x14ac:dyDescent="0.2">
      <c r="A271" s="37" t="s">
        <v>961</v>
      </c>
      <c r="B271" s="17" t="str">
        <f t="shared" si="22"/>
        <v>143 Preferential tariff quota</v>
      </c>
      <c r="C271" s="17" t="str">
        <f t="shared" si="28"/>
        <v>FCFS</v>
      </c>
      <c r="D271" s="14">
        <v>43568</v>
      </c>
      <c r="E271" s="14">
        <v>43830</v>
      </c>
      <c r="F271" s="20">
        <f t="shared" si="27"/>
        <v>262</v>
      </c>
      <c r="G271" s="15">
        <v>1472000</v>
      </c>
      <c r="H271" s="5" t="s">
        <v>27</v>
      </c>
      <c r="I271" s="10">
        <v>3</v>
      </c>
      <c r="J271" s="10" t="s">
        <v>192</v>
      </c>
      <c r="K271" s="10">
        <v>90</v>
      </c>
      <c r="P271" s="5" t="str">
        <f t="shared" si="25"/>
        <v>EC</v>
      </c>
      <c r="Q271" s="10">
        <f t="shared" si="26"/>
        <v>0</v>
      </c>
    </row>
    <row r="272" spans="1:17" x14ac:dyDescent="0.2">
      <c r="A272" s="30" t="s">
        <v>962</v>
      </c>
      <c r="B272" s="17" t="str">
        <f t="shared" ref="B272:B335" si="30">VLOOKUP(A272, quota_order_numbers2, 5, FALSE)</f>
        <v>143 Preferential tariff quota</v>
      </c>
      <c r="C272" s="17" t="str">
        <f t="shared" si="28"/>
        <v>FCFS</v>
      </c>
      <c r="D272" s="14">
        <v>43568</v>
      </c>
      <c r="E272" s="14">
        <v>43830</v>
      </c>
      <c r="F272" s="20">
        <f t="shared" si="27"/>
        <v>262</v>
      </c>
      <c r="G272" s="15">
        <v>20000</v>
      </c>
      <c r="H272" s="5" t="s">
        <v>27</v>
      </c>
      <c r="I272" s="10">
        <v>3</v>
      </c>
      <c r="J272" s="10" t="s">
        <v>192</v>
      </c>
      <c r="K272" s="10">
        <v>90</v>
      </c>
      <c r="P272" s="5" t="str">
        <f t="shared" si="25"/>
        <v>EC</v>
      </c>
      <c r="Q272" s="10">
        <f t="shared" si="26"/>
        <v>0</v>
      </c>
    </row>
    <row r="273" spans="1:17" x14ac:dyDescent="0.2">
      <c r="A273" s="30" t="s">
        <v>963</v>
      </c>
      <c r="B273" s="17" t="str">
        <f t="shared" si="30"/>
        <v>143 Preferential tariff quota</v>
      </c>
      <c r="C273" s="17" t="str">
        <f t="shared" si="28"/>
        <v>FCFS</v>
      </c>
      <c r="D273" s="14">
        <v>43568</v>
      </c>
      <c r="E273" s="14">
        <v>43830</v>
      </c>
      <c r="F273" s="20">
        <f t="shared" si="27"/>
        <v>262</v>
      </c>
      <c r="G273" s="15">
        <v>2000</v>
      </c>
      <c r="H273" s="5" t="s">
        <v>27</v>
      </c>
      <c r="I273" s="10">
        <v>3</v>
      </c>
      <c r="J273" s="10" t="s">
        <v>192</v>
      </c>
      <c r="K273" s="10">
        <v>90</v>
      </c>
      <c r="P273" s="5" t="str">
        <f t="shared" si="25"/>
        <v>EC</v>
      </c>
      <c r="Q273" s="10">
        <f t="shared" si="26"/>
        <v>0</v>
      </c>
    </row>
    <row r="274" spans="1:17" x14ac:dyDescent="0.2">
      <c r="A274" s="30" t="s">
        <v>964</v>
      </c>
      <c r="B274" s="17" t="str">
        <f t="shared" si="30"/>
        <v>143 Preferential tariff quota</v>
      </c>
      <c r="C274" s="17" t="str">
        <f t="shared" si="28"/>
        <v>FCFS</v>
      </c>
      <c r="D274" s="14">
        <v>43568</v>
      </c>
      <c r="E274" s="14">
        <v>43830</v>
      </c>
      <c r="F274" s="20">
        <f t="shared" si="27"/>
        <v>262</v>
      </c>
      <c r="G274" s="15">
        <v>10000</v>
      </c>
      <c r="H274" s="5" t="s">
        <v>27</v>
      </c>
      <c r="I274" s="10">
        <v>3</v>
      </c>
      <c r="J274" s="10" t="s">
        <v>192</v>
      </c>
      <c r="K274" s="10">
        <v>90</v>
      </c>
      <c r="P274" s="5" t="str">
        <f t="shared" si="25"/>
        <v>EC</v>
      </c>
      <c r="Q274" s="10">
        <f t="shared" si="26"/>
        <v>0</v>
      </c>
    </row>
    <row r="275" spans="1:17" x14ac:dyDescent="0.2">
      <c r="A275" s="30" t="s">
        <v>965</v>
      </c>
      <c r="B275" s="17" t="str">
        <f t="shared" si="30"/>
        <v>143 Preferential tariff quota</v>
      </c>
      <c r="C275" s="17" t="str">
        <f t="shared" si="28"/>
        <v>FCFS</v>
      </c>
      <c r="D275" s="14">
        <v>43568</v>
      </c>
      <c r="E275" s="14">
        <v>43830</v>
      </c>
      <c r="F275" s="20">
        <f t="shared" si="27"/>
        <v>262</v>
      </c>
      <c r="G275" s="15">
        <v>2000</v>
      </c>
      <c r="H275" s="5" t="s">
        <v>27</v>
      </c>
      <c r="I275" s="10">
        <v>3</v>
      </c>
      <c r="J275" s="10" t="s">
        <v>192</v>
      </c>
      <c r="K275" s="10">
        <v>90</v>
      </c>
      <c r="P275" s="5" t="str">
        <f t="shared" si="25"/>
        <v>EC</v>
      </c>
      <c r="Q275" s="10">
        <f t="shared" si="26"/>
        <v>0</v>
      </c>
    </row>
    <row r="276" spans="1:17" x14ac:dyDescent="0.2">
      <c r="A276" s="30" t="s">
        <v>966</v>
      </c>
      <c r="B276" s="17" t="str">
        <f t="shared" si="30"/>
        <v>143 Preferential tariff quota</v>
      </c>
      <c r="C276" s="17" t="str">
        <f t="shared" si="28"/>
        <v>FCFS</v>
      </c>
      <c r="D276" s="14">
        <v>43568</v>
      </c>
      <c r="E276" s="14">
        <v>43830</v>
      </c>
      <c r="F276" s="20">
        <f t="shared" si="27"/>
        <v>262</v>
      </c>
      <c r="G276" s="15">
        <v>4000</v>
      </c>
      <c r="H276" s="5" t="s">
        <v>27</v>
      </c>
      <c r="I276" s="10">
        <v>3</v>
      </c>
      <c r="J276" s="10" t="s">
        <v>192</v>
      </c>
      <c r="K276" s="10">
        <v>90</v>
      </c>
      <c r="P276" s="5" t="str">
        <f t="shared" si="25"/>
        <v>EC</v>
      </c>
      <c r="Q276" s="10">
        <f t="shared" si="26"/>
        <v>0</v>
      </c>
    </row>
    <row r="277" spans="1:17" x14ac:dyDescent="0.2">
      <c r="A277" s="30" t="s">
        <v>967</v>
      </c>
      <c r="B277" s="17" t="str">
        <f t="shared" si="30"/>
        <v>143 Preferential tariff quota</v>
      </c>
      <c r="C277" s="17" t="str">
        <f t="shared" si="28"/>
        <v>FCFS</v>
      </c>
      <c r="D277" s="14">
        <v>43568</v>
      </c>
      <c r="E277" s="14">
        <v>43830</v>
      </c>
      <c r="F277" s="20">
        <f t="shared" si="27"/>
        <v>262</v>
      </c>
      <c r="G277" s="15">
        <v>1000</v>
      </c>
      <c r="H277" s="5" t="s">
        <v>27</v>
      </c>
      <c r="I277" s="10">
        <v>3</v>
      </c>
      <c r="J277" s="10" t="s">
        <v>192</v>
      </c>
      <c r="K277" s="10">
        <v>90</v>
      </c>
      <c r="P277" s="5" t="str">
        <f t="shared" si="25"/>
        <v>EC</v>
      </c>
      <c r="Q277" s="10">
        <f t="shared" si="26"/>
        <v>0</v>
      </c>
    </row>
    <row r="278" spans="1:17" x14ac:dyDescent="0.2">
      <c r="A278" s="30" t="s">
        <v>968</v>
      </c>
      <c r="B278" s="17" t="str">
        <f t="shared" si="30"/>
        <v>143 Preferential tariff quota</v>
      </c>
      <c r="C278" s="17" t="str">
        <f t="shared" si="28"/>
        <v>FCFS</v>
      </c>
      <c r="D278" s="14">
        <v>43568</v>
      </c>
      <c r="E278" s="14">
        <v>43830</v>
      </c>
      <c r="F278" s="20">
        <f t="shared" si="27"/>
        <v>262</v>
      </c>
      <c r="G278" s="15">
        <v>2000</v>
      </c>
      <c r="H278" s="5" t="s">
        <v>27</v>
      </c>
      <c r="I278" s="10">
        <v>3</v>
      </c>
      <c r="J278" s="10" t="s">
        <v>192</v>
      </c>
      <c r="K278" s="10">
        <v>90</v>
      </c>
      <c r="P278" s="5" t="str">
        <f t="shared" si="25"/>
        <v>EC</v>
      </c>
      <c r="Q278" s="10">
        <f t="shared" si="26"/>
        <v>0</v>
      </c>
    </row>
    <row r="279" spans="1:17" x14ac:dyDescent="0.2">
      <c r="A279" s="30" t="s">
        <v>969</v>
      </c>
      <c r="B279" s="17" t="str">
        <f t="shared" si="30"/>
        <v>143 Preferential tariff quota</v>
      </c>
      <c r="C279" s="17" t="str">
        <f t="shared" si="28"/>
        <v>FCFS</v>
      </c>
      <c r="D279" s="14">
        <v>43568</v>
      </c>
      <c r="E279" s="14">
        <v>43830</v>
      </c>
      <c r="F279" s="20">
        <f t="shared" si="27"/>
        <v>262</v>
      </c>
      <c r="G279" s="15">
        <v>17000</v>
      </c>
      <c r="H279" s="5" t="s">
        <v>27</v>
      </c>
      <c r="I279" s="10">
        <v>3</v>
      </c>
      <c r="J279" s="10" t="s">
        <v>192</v>
      </c>
      <c r="K279" s="10">
        <v>90</v>
      </c>
      <c r="P279" s="5" t="str">
        <f t="shared" si="25"/>
        <v>EC</v>
      </c>
      <c r="Q279" s="10">
        <f t="shared" si="26"/>
        <v>0</v>
      </c>
    </row>
    <row r="280" spans="1:17" x14ac:dyDescent="0.2">
      <c r="A280" s="30" t="s">
        <v>970</v>
      </c>
      <c r="B280" s="17" t="str">
        <f t="shared" si="30"/>
        <v>143 Preferential tariff quota</v>
      </c>
      <c r="C280" s="17" t="str">
        <f t="shared" si="28"/>
        <v>FCFS</v>
      </c>
      <c r="D280" s="14">
        <v>43568</v>
      </c>
      <c r="E280" s="14">
        <v>43830</v>
      </c>
      <c r="F280" s="20">
        <f t="shared" si="27"/>
        <v>262</v>
      </c>
      <c r="G280" s="15">
        <v>1963</v>
      </c>
      <c r="H280" s="5" t="s">
        <v>47</v>
      </c>
      <c r="I280" s="10">
        <v>3</v>
      </c>
      <c r="J280" s="10" t="s">
        <v>192</v>
      </c>
      <c r="K280" s="10">
        <v>90</v>
      </c>
      <c r="P280" s="5" t="str">
        <f t="shared" si="25"/>
        <v>EC</v>
      </c>
      <c r="Q280" s="10">
        <f t="shared" si="26"/>
        <v>0</v>
      </c>
    </row>
    <row r="281" spans="1:17" x14ac:dyDescent="0.2">
      <c r="A281" s="30" t="s">
        <v>971</v>
      </c>
      <c r="B281" s="17" t="str">
        <f t="shared" si="30"/>
        <v>143 Preferential tariff quota</v>
      </c>
      <c r="C281" s="17" t="str">
        <f t="shared" si="28"/>
        <v>FCFS</v>
      </c>
      <c r="D281" s="14">
        <v>43568</v>
      </c>
      <c r="E281" s="14">
        <v>43830</v>
      </c>
      <c r="F281" s="20">
        <f t="shared" si="27"/>
        <v>262</v>
      </c>
      <c r="G281" s="15">
        <v>4907000</v>
      </c>
      <c r="H281" s="5" t="s">
        <v>27</v>
      </c>
      <c r="I281" s="10">
        <v>3</v>
      </c>
      <c r="J281" s="10" t="s">
        <v>192</v>
      </c>
      <c r="K281" s="10">
        <v>90</v>
      </c>
      <c r="P281" s="5" t="str">
        <f t="shared" si="25"/>
        <v>EC</v>
      </c>
      <c r="Q281" s="10">
        <f t="shared" si="26"/>
        <v>0</v>
      </c>
    </row>
    <row r="282" spans="1:17" x14ac:dyDescent="0.2">
      <c r="A282" s="30" t="s">
        <v>972</v>
      </c>
      <c r="B282" s="17" t="str">
        <f t="shared" si="30"/>
        <v>143 Preferential tariff quota</v>
      </c>
      <c r="C282" s="17" t="str">
        <f t="shared" si="28"/>
        <v>FCFS</v>
      </c>
      <c r="D282" s="14">
        <v>43568</v>
      </c>
      <c r="E282" s="14">
        <v>43830</v>
      </c>
      <c r="F282" s="20">
        <f t="shared" si="27"/>
        <v>262</v>
      </c>
      <c r="G282" s="15">
        <v>4907000</v>
      </c>
      <c r="H282" s="5" t="s">
        <v>27</v>
      </c>
      <c r="I282" s="10">
        <v>3</v>
      </c>
      <c r="J282" s="10" t="s">
        <v>192</v>
      </c>
      <c r="K282" s="10">
        <v>90</v>
      </c>
      <c r="P282" s="5" t="str">
        <f t="shared" si="25"/>
        <v>EC</v>
      </c>
      <c r="Q282" s="10">
        <f t="shared" si="26"/>
        <v>0</v>
      </c>
    </row>
    <row r="283" spans="1:17" x14ac:dyDescent="0.2">
      <c r="A283" s="30" t="s">
        <v>973</v>
      </c>
      <c r="B283" s="17" t="str">
        <f t="shared" si="30"/>
        <v>143 Preferential tariff quota</v>
      </c>
      <c r="C283" s="17" t="str">
        <f t="shared" si="28"/>
        <v>FCFS</v>
      </c>
      <c r="D283" s="14">
        <v>43568</v>
      </c>
      <c r="E283" s="14">
        <v>43830</v>
      </c>
      <c r="F283" s="20">
        <f t="shared" si="27"/>
        <v>262</v>
      </c>
      <c r="G283" s="15">
        <v>19000</v>
      </c>
      <c r="H283" s="5" t="s">
        <v>27</v>
      </c>
      <c r="I283" s="10">
        <v>3</v>
      </c>
      <c r="J283" s="10" t="s">
        <v>192</v>
      </c>
      <c r="K283" s="10">
        <v>90</v>
      </c>
      <c r="P283" s="5" t="str">
        <f t="shared" si="25"/>
        <v>EC</v>
      </c>
      <c r="Q283" s="10">
        <f t="shared" si="26"/>
        <v>0</v>
      </c>
    </row>
    <row r="284" spans="1:17" x14ac:dyDescent="0.2">
      <c r="A284" s="30" t="s">
        <v>974</v>
      </c>
      <c r="B284" s="17" t="str">
        <f t="shared" si="30"/>
        <v>143 Preferential tariff quota</v>
      </c>
      <c r="C284" s="17" t="str">
        <f t="shared" si="28"/>
        <v>FCFS</v>
      </c>
      <c r="D284" s="14">
        <v>43568</v>
      </c>
      <c r="E284" s="14">
        <v>43830</v>
      </c>
      <c r="F284" s="20">
        <f t="shared" si="27"/>
        <v>262</v>
      </c>
      <c r="G284" s="15">
        <v>12000</v>
      </c>
      <c r="H284" s="5" t="s">
        <v>27</v>
      </c>
      <c r="I284" s="10">
        <v>3</v>
      </c>
      <c r="J284" s="10" t="s">
        <v>192</v>
      </c>
      <c r="K284" s="10">
        <v>90</v>
      </c>
      <c r="P284" s="5" t="str">
        <f t="shared" si="25"/>
        <v>EC</v>
      </c>
      <c r="Q284" s="10">
        <f t="shared" si="26"/>
        <v>0</v>
      </c>
    </row>
    <row r="285" spans="1:17" x14ac:dyDescent="0.2">
      <c r="A285" s="30" t="s">
        <v>975</v>
      </c>
      <c r="B285" s="17" t="str">
        <f t="shared" si="30"/>
        <v>143 Preferential tariff quota</v>
      </c>
      <c r="C285" s="17" t="str">
        <f t="shared" si="28"/>
        <v>FCFS</v>
      </c>
      <c r="D285" s="14">
        <v>43568</v>
      </c>
      <c r="E285" s="14">
        <v>43830</v>
      </c>
      <c r="F285" s="20">
        <f t="shared" si="27"/>
        <v>262</v>
      </c>
      <c r="G285" s="15">
        <v>4000</v>
      </c>
      <c r="H285" s="5" t="s">
        <v>27</v>
      </c>
      <c r="I285" s="10">
        <v>3</v>
      </c>
      <c r="J285" s="10" t="s">
        <v>192</v>
      </c>
      <c r="K285" s="10">
        <v>90</v>
      </c>
      <c r="P285" s="5" t="str">
        <f t="shared" si="25"/>
        <v>EC</v>
      </c>
      <c r="Q285" s="10">
        <f t="shared" si="26"/>
        <v>0</v>
      </c>
    </row>
    <row r="286" spans="1:17" x14ac:dyDescent="0.2">
      <c r="A286" s="30" t="s">
        <v>976</v>
      </c>
      <c r="B286" s="17" t="str">
        <f t="shared" si="30"/>
        <v>143 Preferential tariff quota</v>
      </c>
      <c r="C286" s="17" t="str">
        <f t="shared" si="28"/>
        <v>FCFS</v>
      </c>
      <c r="D286" s="14">
        <v>43568</v>
      </c>
      <c r="E286" s="14">
        <v>43830</v>
      </c>
      <c r="F286" s="20">
        <f t="shared" si="27"/>
        <v>262</v>
      </c>
      <c r="G286" s="15">
        <v>15000</v>
      </c>
      <c r="H286" s="5" t="s">
        <v>27</v>
      </c>
      <c r="I286" s="10">
        <v>3</v>
      </c>
      <c r="J286" s="10" t="s">
        <v>192</v>
      </c>
      <c r="K286" s="10">
        <v>90</v>
      </c>
      <c r="P286" s="5" t="str">
        <f t="shared" si="25"/>
        <v>EC</v>
      </c>
      <c r="Q286" s="10">
        <f t="shared" si="26"/>
        <v>0</v>
      </c>
    </row>
    <row r="287" spans="1:17" x14ac:dyDescent="0.2">
      <c r="A287" s="30" t="s">
        <v>977</v>
      </c>
      <c r="B287" s="17" t="str">
        <f t="shared" si="30"/>
        <v>143 Preferential tariff quota</v>
      </c>
      <c r="C287" s="17" t="str">
        <f t="shared" si="28"/>
        <v>FCFS</v>
      </c>
      <c r="D287" s="14">
        <v>43568</v>
      </c>
      <c r="E287" s="14">
        <v>43830</v>
      </c>
      <c r="F287" s="20">
        <f t="shared" si="27"/>
        <v>262</v>
      </c>
      <c r="G287" s="15">
        <v>1498000</v>
      </c>
      <c r="H287" s="5" t="s">
        <v>27</v>
      </c>
      <c r="I287" s="10">
        <v>3</v>
      </c>
      <c r="J287" s="10" t="s">
        <v>192</v>
      </c>
      <c r="K287" s="10">
        <v>90</v>
      </c>
      <c r="P287" s="5" t="str">
        <f t="shared" si="25"/>
        <v>EC</v>
      </c>
      <c r="Q287" s="10">
        <f t="shared" si="26"/>
        <v>0</v>
      </c>
    </row>
    <row r="288" spans="1:17" x14ac:dyDescent="0.2">
      <c r="A288" s="30" t="s">
        <v>978</v>
      </c>
      <c r="B288" s="17" t="str">
        <f t="shared" si="30"/>
        <v>143 Preferential tariff quota</v>
      </c>
      <c r="C288" s="17" t="str">
        <f t="shared" si="28"/>
        <v>FCFS</v>
      </c>
      <c r="D288" s="14">
        <v>43568</v>
      </c>
      <c r="E288" s="14">
        <v>43830</v>
      </c>
      <c r="F288" s="20">
        <f t="shared" si="27"/>
        <v>262</v>
      </c>
      <c r="G288" s="15">
        <v>191000</v>
      </c>
      <c r="H288" s="5" t="s">
        <v>27</v>
      </c>
      <c r="I288" s="10">
        <v>3</v>
      </c>
      <c r="J288" s="10" t="s">
        <v>192</v>
      </c>
      <c r="K288" s="10">
        <v>90</v>
      </c>
      <c r="P288" s="5" t="str">
        <f t="shared" si="25"/>
        <v>EC</v>
      </c>
      <c r="Q288" s="10">
        <f t="shared" si="26"/>
        <v>0</v>
      </c>
    </row>
    <row r="289" spans="1:17" x14ac:dyDescent="0.2">
      <c r="A289" s="30" t="s">
        <v>979</v>
      </c>
      <c r="B289" s="17" t="str">
        <f t="shared" si="30"/>
        <v>143 Preferential tariff quota</v>
      </c>
      <c r="C289" s="17" t="str">
        <f t="shared" si="28"/>
        <v>FCFS</v>
      </c>
      <c r="D289" s="14">
        <v>43568</v>
      </c>
      <c r="E289" s="14">
        <v>43830</v>
      </c>
      <c r="F289" s="20">
        <f t="shared" si="27"/>
        <v>262</v>
      </c>
      <c r="G289" s="15">
        <v>115000</v>
      </c>
      <c r="H289" s="5" t="s">
        <v>27</v>
      </c>
      <c r="I289" s="10">
        <v>3</v>
      </c>
      <c r="J289" s="10" t="s">
        <v>192</v>
      </c>
      <c r="K289" s="10">
        <v>90</v>
      </c>
      <c r="P289" s="5" t="str">
        <f t="shared" si="25"/>
        <v>EC</v>
      </c>
      <c r="Q289" s="10">
        <f t="shared" si="26"/>
        <v>0</v>
      </c>
    </row>
    <row r="290" spans="1:17" x14ac:dyDescent="0.2">
      <c r="A290" s="30" t="s">
        <v>980</v>
      </c>
      <c r="B290" s="17" t="str">
        <f t="shared" si="30"/>
        <v>143 Preferential tariff quota</v>
      </c>
      <c r="C290" s="17" t="str">
        <f t="shared" si="28"/>
        <v>FCFS</v>
      </c>
      <c r="D290" s="14">
        <v>43568</v>
      </c>
      <c r="E290" s="14">
        <v>43830</v>
      </c>
      <c r="F290" s="20">
        <f t="shared" si="27"/>
        <v>262</v>
      </c>
      <c r="G290" s="15">
        <v>1561000</v>
      </c>
      <c r="H290" s="5" t="s">
        <v>27</v>
      </c>
      <c r="I290" s="10">
        <v>3</v>
      </c>
      <c r="J290" s="10" t="s">
        <v>192</v>
      </c>
      <c r="K290" s="10">
        <v>90</v>
      </c>
      <c r="P290" s="5" t="str">
        <f t="shared" si="25"/>
        <v>EC</v>
      </c>
      <c r="Q290" s="10">
        <f t="shared" si="26"/>
        <v>0</v>
      </c>
    </row>
    <row r="291" spans="1:17" x14ac:dyDescent="0.2">
      <c r="A291" s="30" t="s">
        <v>981</v>
      </c>
      <c r="B291" s="17" t="str">
        <f t="shared" si="30"/>
        <v>143 Preferential tariff quota</v>
      </c>
      <c r="C291" s="17" t="str">
        <f t="shared" si="28"/>
        <v>FCFS</v>
      </c>
      <c r="D291" s="14">
        <v>43568</v>
      </c>
      <c r="E291" s="14">
        <v>43830</v>
      </c>
      <c r="F291" s="20">
        <f t="shared" si="27"/>
        <v>262</v>
      </c>
      <c r="G291" s="15">
        <v>393000</v>
      </c>
      <c r="H291" s="5" t="s">
        <v>27</v>
      </c>
      <c r="I291" s="10">
        <v>3</v>
      </c>
      <c r="J291" s="10" t="s">
        <v>192</v>
      </c>
      <c r="K291" s="10">
        <v>90</v>
      </c>
      <c r="P291" s="5" t="str">
        <f t="shared" si="25"/>
        <v>EC</v>
      </c>
      <c r="Q291" s="10">
        <f t="shared" si="26"/>
        <v>0</v>
      </c>
    </row>
    <row r="292" spans="1:17" x14ac:dyDescent="0.2">
      <c r="A292" s="30" t="s">
        <v>982</v>
      </c>
      <c r="B292" s="17" t="str">
        <f t="shared" si="30"/>
        <v>143 Preferential tariff quota</v>
      </c>
      <c r="C292" s="17" t="str">
        <f t="shared" si="28"/>
        <v>FCFS</v>
      </c>
      <c r="D292" s="14">
        <v>43568</v>
      </c>
      <c r="E292" s="14">
        <v>43830</v>
      </c>
      <c r="F292" s="20">
        <f t="shared" si="27"/>
        <v>262</v>
      </c>
      <c r="G292" s="15">
        <v>1000</v>
      </c>
      <c r="H292" s="5" t="s">
        <v>27</v>
      </c>
      <c r="I292" s="10">
        <v>3</v>
      </c>
      <c r="J292" s="10" t="s">
        <v>192</v>
      </c>
      <c r="K292" s="10">
        <v>90</v>
      </c>
      <c r="P292" s="5" t="str">
        <f t="shared" si="25"/>
        <v>EC</v>
      </c>
      <c r="Q292" s="10">
        <f t="shared" si="26"/>
        <v>0</v>
      </c>
    </row>
    <row r="293" spans="1:17" x14ac:dyDescent="0.2">
      <c r="A293" s="37" t="s">
        <v>961</v>
      </c>
      <c r="B293" s="17" t="str">
        <f t="shared" si="30"/>
        <v>143 Preferential tariff quota</v>
      </c>
      <c r="C293" s="17" t="str">
        <f t="shared" si="28"/>
        <v>FCFS</v>
      </c>
      <c r="D293" s="14">
        <v>43466</v>
      </c>
      <c r="E293" s="14">
        <v>44196</v>
      </c>
      <c r="F293" s="20">
        <f t="shared" si="27"/>
        <v>730</v>
      </c>
      <c r="G293" s="15">
        <v>2043000</v>
      </c>
      <c r="H293" s="5" t="s">
        <v>27</v>
      </c>
      <c r="I293" s="10">
        <v>3</v>
      </c>
      <c r="J293" s="10" t="s">
        <v>192</v>
      </c>
      <c r="K293" s="10">
        <v>90</v>
      </c>
      <c r="P293" s="5" t="str">
        <f t="shared" si="25"/>
        <v>EC</v>
      </c>
      <c r="Q293" s="10">
        <f t="shared" si="26"/>
        <v>0</v>
      </c>
    </row>
    <row r="294" spans="1:17" x14ac:dyDescent="0.2">
      <c r="A294" s="30" t="s">
        <v>962</v>
      </c>
      <c r="B294" s="17" t="str">
        <f t="shared" si="30"/>
        <v>143 Preferential tariff quota</v>
      </c>
      <c r="C294" s="17" t="str">
        <f t="shared" si="28"/>
        <v>FCFS</v>
      </c>
      <c r="D294" s="14">
        <v>43466</v>
      </c>
      <c r="E294" s="14">
        <v>44196</v>
      </c>
      <c r="F294" s="20">
        <f t="shared" si="27"/>
        <v>730</v>
      </c>
      <c r="G294" s="15">
        <v>27000</v>
      </c>
      <c r="H294" s="5" t="s">
        <v>27</v>
      </c>
      <c r="I294" s="10">
        <v>3</v>
      </c>
      <c r="J294" s="10" t="s">
        <v>192</v>
      </c>
      <c r="K294" s="10">
        <v>90</v>
      </c>
      <c r="P294" s="5" t="str">
        <f t="shared" si="25"/>
        <v>EC</v>
      </c>
      <c r="Q294" s="10">
        <f t="shared" si="26"/>
        <v>0</v>
      </c>
    </row>
    <row r="295" spans="1:17" x14ac:dyDescent="0.2">
      <c r="A295" s="30" t="s">
        <v>963</v>
      </c>
      <c r="B295" s="17" t="str">
        <f t="shared" si="30"/>
        <v>143 Preferential tariff quota</v>
      </c>
      <c r="C295" s="17" t="str">
        <f t="shared" si="28"/>
        <v>FCFS</v>
      </c>
      <c r="D295" s="14">
        <v>43466</v>
      </c>
      <c r="E295" s="14">
        <v>44196</v>
      </c>
      <c r="F295" s="20">
        <f t="shared" si="27"/>
        <v>730</v>
      </c>
      <c r="G295" s="15">
        <v>3000</v>
      </c>
      <c r="H295" s="5" t="s">
        <v>27</v>
      </c>
      <c r="I295" s="10">
        <v>3</v>
      </c>
      <c r="J295" s="10" t="s">
        <v>192</v>
      </c>
      <c r="K295" s="10">
        <v>90</v>
      </c>
      <c r="P295" s="5" t="str">
        <f t="shared" si="25"/>
        <v>EC</v>
      </c>
      <c r="Q295" s="10">
        <f t="shared" si="26"/>
        <v>0</v>
      </c>
    </row>
    <row r="296" spans="1:17" x14ac:dyDescent="0.2">
      <c r="A296" s="30" t="s">
        <v>964</v>
      </c>
      <c r="B296" s="17" t="str">
        <f t="shared" si="30"/>
        <v>143 Preferential tariff quota</v>
      </c>
      <c r="C296" s="17" t="str">
        <f t="shared" si="28"/>
        <v>FCFS</v>
      </c>
      <c r="D296" s="14">
        <v>43466</v>
      </c>
      <c r="E296" s="14">
        <v>44196</v>
      </c>
      <c r="F296" s="20">
        <f t="shared" si="27"/>
        <v>730</v>
      </c>
      <c r="G296" s="15">
        <v>14000</v>
      </c>
      <c r="H296" s="5" t="s">
        <v>27</v>
      </c>
      <c r="I296" s="10">
        <v>3</v>
      </c>
      <c r="J296" s="10" t="s">
        <v>192</v>
      </c>
      <c r="K296" s="10">
        <v>90</v>
      </c>
      <c r="P296" s="5" t="str">
        <f t="shared" si="25"/>
        <v>EC</v>
      </c>
      <c r="Q296" s="10">
        <f t="shared" si="26"/>
        <v>0</v>
      </c>
    </row>
    <row r="297" spans="1:17" x14ac:dyDescent="0.2">
      <c r="A297" s="30" t="s">
        <v>965</v>
      </c>
      <c r="B297" s="17" t="str">
        <f t="shared" si="30"/>
        <v>143 Preferential tariff quota</v>
      </c>
      <c r="C297" s="17" t="str">
        <f t="shared" si="28"/>
        <v>FCFS</v>
      </c>
      <c r="D297" s="14">
        <v>43466</v>
      </c>
      <c r="E297" s="14">
        <v>44196</v>
      </c>
      <c r="F297" s="20">
        <f t="shared" si="27"/>
        <v>730</v>
      </c>
      <c r="G297" s="15">
        <v>3000</v>
      </c>
      <c r="H297" s="5" t="s">
        <v>27</v>
      </c>
      <c r="I297" s="10">
        <v>3</v>
      </c>
      <c r="J297" s="10" t="s">
        <v>192</v>
      </c>
      <c r="K297" s="10">
        <v>90</v>
      </c>
      <c r="P297" s="5" t="str">
        <f t="shared" si="25"/>
        <v>EC</v>
      </c>
      <c r="Q297" s="10">
        <f t="shared" si="26"/>
        <v>0</v>
      </c>
    </row>
    <row r="298" spans="1:17" x14ac:dyDescent="0.2">
      <c r="A298" s="30" t="s">
        <v>966</v>
      </c>
      <c r="B298" s="17" t="str">
        <f t="shared" si="30"/>
        <v>143 Preferential tariff quota</v>
      </c>
      <c r="C298" s="17" t="str">
        <f t="shared" si="28"/>
        <v>FCFS</v>
      </c>
      <c r="D298" s="14">
        <v>43466</v>
      </c>
      <c r="E298" s="14">
        <v>44196</v>
      </c>
      <c r="F298" s="20">
        <f t="shared" si="27"/>
        <v>730</v>
      </c>
      <c r="G298" s="15">
        <v>5000</v>
      </c>
      <c r="H298" s="5" t="s">
        <v>27</v>
      </c>
      <c r="I298" s="10">
        <v>3</v>
      </c>
      <c r="J298" s="10" t="s">
        <v>192</v>
      </c>
      <c r="K298" s="10">
        <v>90</v>
      </c>
      <c r="P298" s="5" t="str">
        <f t="shared" si="25"/>
        <v>EC</v>
      </c>
      <c r="Q298" s="10">
        <f t="shared" si="26"/>
        <v>0</v>
      </c>
    </row>
    <row r="299" spans="1:17" x14ac:dyDescent="0.2">
      <c r="A299" s="30" t="s">
        <v>967</v>
      </c>
      <c r="B299" s="17" t="str">
        <f t="shared" si="30"/>
        <v>143 Preferential tariff quota</v>
      </c>
      <c r="C299" s="17" t="str">
        <f t="shared" si="28"/>
        <v>FCFS</v>
      </c>
      <c r="D299" s="14">
        <v>43466</v>
      </c>
      <c r="E299" s="14">
        <v>44196</v>
      </c>
      <c r="F299" s="20">
        <f t="shared" si="27"/>
        <v>730</v>
      </c>
      <c r="G299" s="15">
        <v>2000</v>
      </c>
      <c r="H299" s="5" t="s">
        <v>27</v>
      </c>
      <c r="I299" s="10">
        <v>3</v>
      </c>
      <c r="J299" s="10" t="s">
        <v>192</v>
      </c>
      <c r="K299" s="10">
        <v>90</v>
      </c>
      <c r="P299" s="5" t="str">
        <f t="shared" si="25"/>
        <v>EC</v>
      </c>
      <c r="Q299" s="10">
        <f t="shared" si="26"/>
        <v>0</v>
      </c>
    </row>
    <row r="300" spans="1:17" x14ac:dyDescent="0.2">
      <c r="A300" s="30" t="s">
        <v>968</v>
      </c>
      <c r="B300" s="17" t="str">
        <f t="shared" si="30"/>
        <v>143 Preferential tariff quota</v>
      </c>
      <c r="C300" s="17" t="str">
        <f t="shared" si="28"/>
        <v>FCFS</v>
      </c>
      <c r="D300" s="14">
        <v>43466</v>
      </c>
      <c r="E300" s="14">
        <v>44196</v>
      </c>
      <c r="F300" s="20">
        <f t="shared" si="27"/>
        <v>730</v>
      </c>
      <c r="G300" s="15">
        <v>3000</v>
      </c>
      <c r="H300" s="5" t="s">
        <v>27</v>
      </c>
      <c r="I300" s="10">
        <v>3</v>
      </c>
      <c r="J300" s="10" t="s">
        <v>192</v>
      </c>
      <c r="K300" s="10">
        <v>90</v>
      </c>
      <c r="P300" s="5" t="str">
        <f t="shared" si="25"/>
        <v>EC</v>
      </c>
      <c r="Q300" s="10">
        <f t="shared" si="26"/>
        <v>0</v>
      </c>
    </row>
    <row r="301" spans="1:17" x14ac:dyDescent="0.2">
      <c r="A301" s="30" t="s">
        <v>969</v>
      </c>
      <c r="B301" s="17" t="str">
        <f t="shared" si="30"/>
        <v>143 Preferential tariff quota</v>
      </c>
      <c r="C301" s="17" t="str">
        <f t="shared" si="28"/>
        <v>FCFS</v>
      </c>
      <c r="D301" s="14">
        <v>43466</v>
      </c>
      <c r="E301" s="14">
        <v>44196</v>
      </c>
      <c r="F301" s="20">
        <f t="shared" si="27"/>
        <v>730</v>
      </c>
      <c r="G301" s="15">
        <v>24000</v>
      </c>
      <c r="H301" s="5" t="s">
        <v>27</v>
      </c>
      <c r="I301" s="10">
        <v>3</v>
      </c>
      <c r="J301" s="10" t="s">
        <v>192</v>
      </c>
      <c r="K301" s="10">
        <v>90</v>
      </c>
      <c r="P301" s="5" t="str">
        <f t="shared" si="25"/>
        <v>EC</v>
      </c>
      <c r="Q301" s="10">
        <f t="shared" si="26"/>
        <v>0</v>
      </c>
    </row>
    <row r="302" spans="1:17" x14ac:dyDescent="0.2">
      <c r="A302" s="30" t="s">
        <v>970</v>
      </c>
      <c r="B302" s="17" t="str">
        <f t="shared" si="30"/>
        <v>143 Preferential tariff quota</v>
      </c>
      <c r="C302" s="17" t="str">
        <f t="shared" si="28"/>
        <v>FCFS</v>
      </c>
      <c r="D302" s="14">
        <v>43466</v>
      </c>
      <c r="E302" s="14">
        <v>44196</v>
      </c>
      <c r="F302" s="20">
        <f t="shared" si="27"/>
        <v>730</v>
      </c>
      <c r="G302" s="15">
        <v>2724</v>
      </c>
      <c r="H302" s="5" t="s">
        <v>47</v>
      </c>
      <c r="I302" s="10">
        <v>3</v>
      </c>
      <c r="J302" s="10" t="s">
        <v>192</v>
      </c>
      <c r="K302" s="10">
        <v>90</v>
      </c>
      <c r="P302" s="5" t="str">
        <f t="shared" si="25"/>
        <v>EC</v>
      </c>
      <c r="Q302" s="10">
        <f t="shared" si="26"/>
        <v>0</v>
      </c>
    </row>
    <row r="303" spans="1:17" x14ac:dyDescent="0.2">
      <c r="A303" s="30" t="s">
        <v>971</v>
      </c>
      <c r="B303" s="17" t="str">
        <f t="shared" si="30"/>
        <v>143 Preferential tariff quota</v>
      </c>
      <c r="C303" s="17" t="str">
        <f t="shared" si="28"/>
        <v>FCFS</v>
      </c>
      <c r="D303" s="14">
        <v>43466</v>
      </c>
      <c r="E303" s="14">
        <v>44196</v>
      </c>
      <c r="F303" s="20">
        <f t="shared" si="27"/>
        <v>730</v>
      </c>
      <c r="G303" s="15">
        <v>6810000</v>
      </c>
      <c r="H303" s="5" t="s">
        <v>27</v>
      </c>
      <c r="I303" s="10">
        <v>3</v>
      </c>
      <c r="J303" s="10" t="s">
        <v>192</v>
      </c>
      <c r="K303" s="10">
        <v>90</v>
      </c>
      <c r="P303" s="5" t="str">
        <f t="shared" si="25"/>
        <v>EC</v>
      </c>
      <c r="Q303" s="10">
        <f t="shared" si="26"/>
        <v>0</v>
      </c>
    </row>
    <row r="304" spans="1:17" x14ac:dyDescent="0.2">
      <c r="A304" s="30" t="s">
        <v>972</v>
      </c>
      <c r="B304" s="17" t="str">
        <f t="shared" si="30"/>
        <v>143 Preferential tariff quota</v>
      </c>
      <c r="C304" s="17" t="str">
        <f t="shared" si="28"/>
        <v>FCFS</v>
      </c>
      <c r="D304" s="14">
        <v>43466</v>
      </c>
      <c r="E304" s="14">
        <v>44196</v>
      </c>
      <c r="F304" s="20">
        <f t="shared" si="27"/>
        <v>730</v>
      </c>
      <c r="G304" s="15">
        <v>6810000</v>
      </c>
      <c r="H304" s="5" t="s">
        <v>27</v>
      </c>
      <c r="I304" s="10">
        <v>3</v>
      </c>
      <c r="J304" s="10" t="s">
        <v>192</v>
      </c>
      <c r="K304" s="10">
        <v>90</v>
      </c>
      <c r="P304" s="5" t="str">
        <f t="shared" si="25"/>
        <v>EC</v>
      </c>
      <c r="Q304" s="10">
        <f t="shared" si="26"/>
        <v>0</v>
      </c>
    </row>
    <row r="305" spans="1:17" x14ac:dyDescent="0.2">
      <c r="A305" s="30" t="s">
        <v>973</v>
      </c>
      <c r="B305" s="17" t="str">
        <f t="shared" si="30"/>
        <v>143 Preferential tariff quota</v>
      </c>
      <c r="C305" s="17" t="str">
        <f t="shared" si="28"/>
        <v>FCFS</v>
      </c>
      <c r="D305" s="14">
        <v>43466</v>
      </c>
      <c r="E305" s="14">
        <v>44196</v>
      </c>
      <c r="F305" s="20">
        <f t="shared" si="27"/>
        <v>730</v>
      </c>
      <c r="G305" s="15">
        <v>27000</v>
      </c>
      <c r="H305" s="5" t="s">
        <v>27</v>
      </c>
      <c r="I305" s="10">
        <v>3</v>
      </c>
      <c r="J305" s="10" t="s">
        <v>192</v>
      </c>
      <c r="K305" s="10">
        <v>90</v>
      </c>
      <c r="P305" s="5" t="str">
        <f t="shared" si="25"/>
        <v>EC</v>
      </c>
      <c r="Q305" s="10">
        <f t="shared" si="26"/>
        <v>0</v>
      </c>
    </row>
    <row r="306" spans="1:17" x14ac:dyDescent="0.2">
      <c r="A306" s="30" t="s">
        <v>974</v>
      </c>
      <c r="B306" s="17" t="str">
        <f t="shared" si="30"/>
        <v>143 Preferential tariff quota</v>
      </c>
      <c r="C306" s="17" t="str">
        <f t="shared" si="28"/>
        <v>FCFS</v>
      </c>
      <c r="D306" s="14">
        <v>43466</v>
      </c>
      <c r="E306" s="14">
        <v>44196</v>
      </c>
      <c r="F306" s="20">
        <f t="shared" si="27"/>
        <v>730</v>
      </c>
      <c r="G306" s="15">
        <v>16000</v>
      </c>
      <c r="H306" s="5" t="s">
        <v>27</v>
      </c>
      <c r="I306" s="10">
        <v>3</v>
      </c>
      <c r="J306" s="10" t="s">
        <v>192</v>
      </c>
      <c r="K306" s="10">
        <v>90</v>
      </c>
      <c r="P306" s="5" t="str">
        <f t="shared" si="25"/>
        <v>EC</v>
      </c>
      <c r="Q306" s="10">
        <f t="shared" si="26"/>
        <v>0</v>
      </c>
    </row>
    <row r="307" spans="1:17" x14ac:dyDescent="0.2">
      <c r="A307" s="30" t="s">
        <v>975</v>
      </c>
      <c r="B307" s="17" t="str">
        <f t="shared" si="30"/>
        <v>143 Preferential tariff quota</v>
      </c>
      <c r="C307" s="17" t="str">
        <f t="shared" si="28"/>
        <v>FCFS</v>
      </c>
      <c r="D307" s="14">
        <v>43466</v>
      </c>
      <c r="E307" s="14">
        <v>44196</v>
      </c>
      <c r="F307" s="20">
        <f t="shared" si="27"/>
        <v>730</v>
      </c>
      <c r="G307" s="15">
        <v>5000</v>
      </c>
      <c r="H307" s="5" t="s">
        <v>27</v>
      </c>
      <c r="I307" s="10">
        <v>3</v>
      </c>
      <c r="J307" s="10" t="s">
        <v>192</v>
      </c>
      <c r="K307" s="10">
        <v>90</v>
      </c>
      <c r="P307" s="5" t="str">
        <f t="shared" si="25"/>
        <v>EC</v>
      </c>
      <c r="Q307" s="10">
        <f t="shared" si="26"/>
        <v>0</v>
      </c>
    </row>
    <row r="308" spans="1:17" x14ac:dyDescent="0.2">
      <c r="A308" s="30" t="s">
        <v>976</v>
      </c>
      <c r="B308" s="17" t="str">
        <f t="shared" si="30"/>
        <v>143 Preferential tariff quota</v>
      </c>
      <c r="C308" s="17" t="str">
        <f t="shared" si="28"/>
        <v>FCFS</v>
      </c>
      <c r="D308" s="14">
        <v>43466</v>
      </c>
      <c r="E308" s="14">
        <v>44196</v>
      </c>
      <c r="F308" s="20">
        <f t="shared" si="27"/>
        <v>730</v>
      </c>
      <c r="G308" s="15">
        <v>21000</v>
      </c>
      <c r="H308" s="5" t="s">
        <v>27</v>
      </c>
      <c r="I308" s="10">
        <v>3</v>
      </c>
      <c r="J308" s="10" t="s">
        <v>192</v>
      </c>
      <c r="K308" s="10">
        <v>90</v>
      </c>
      <c r="P308" s="5" t="str">
        <f t="shared" si="25"/>
        <v>EC</v>
      </c>
      <c r="Q308" s="10">
        <f t="shared" si="26"/>
        <v>0</v>
      </c>
    </row>
    <row r="309" spans="1:17" x14ac:dyDescent="0.2">
      <c r="A309" s="30" t="s">
        <v>977</v>
      </c>
      <c r="B309" s="17" t="str">
        <f t="shared" si="30"/>
        <v>143 Preferential tariff quota</v>
      </c>
      <c r="C309" s="17" t="str">
        <f t="shared" si="28"/>
        <v>FCFS</v>
      </c>
      <c r="D309" s="14">
        <v>43466</v>
      </c>
      <c r="E309" s="14">
        <v>44196</v>
      </c>
      <c r="F309" s="20">
        <f t="shared" si="27"/>
        <v>730</v>
      </c>
      <c r="G309" s="15">
        <v>2079000</v>
      </c>
      <c r="H309" s="5" t="s">
        <v>27</v>
      </c>
      <c r="I309" s="10">
        <v>3</v>
      </c>
      <c r="J309" s="10" t="s">
        <v>192</v>
      </c>
      <c r="K309" s="10">
        <v>90</v>
      </c>
      <c r="P309" s="5" t="str">
        <f t="shared" si="25"/>
        <v>EC</v>
      </c>
      <c r="Q309" s="10">
        <f t="shared" si="26"/>
        <v>0</v>
      </c>
    </row>
    <row r="310" spans="1:17" x14ac:dyDescent="0.2">
      <c r="A310" s="30" t="s">
        <v>978</v>
      </c>
      <c r="B310" s="17" t="str">
        <f t="shared" si="30"/>
        <v>143 Preferential tariff quota</v>
      </c>
      <c r="C310" s="17" t="str">
        <f t="shared" si="28"/>
        <v>FCFS</v>
      </c>
      <c r="D310" s="14">
        <v>43466</v>
      </c>
      <c r="E310" s="14">
        <v>44196</v>
      </c>
      <c r="F310" s="20">
        <f t="shared" si="27"/>
        <v>730</v>
      </c>
      <c r="G310" s="15">
        <v>265000</v>
      </c>
      <c r="H310" s="5" t="s">
        <v>27</v>
      </c>
      <c r="I310" s="10">
        <v>3</v>
      </c>
      <c r="J310" s="10" t="s">
        <v>192</v>
      </c>
      <c r="K310" s="10">
        <v>90</v>
      </c>
      <c r="P310" s="5" t="str">
        <f t="shared" si="25"/>
        <v>EC</v>
      </c>
      <c r="Q310" s="10">
        <f t="shared" si="26"/>
        <v>0</v>
      </c>
    </row>
    <row r="311" spans="1:17" x14ac:dyDescent="0.2">
      <c r="A311" s="30" t="s">
        <v>979</v>
      </c>
      <c r="B311" s="17" t="str">
        <f t="shared" si="30"/>
        <v>143 Preferential tariff quota</v>
      </c>
      <c r="C311" s="17" t="str">
        <f t="shared" si="28"/>
        <v>FCFS</v>
      </c>
      <c r="D311" s="14">
        <v>43466</v>
      </c>
      <c r="E311" s="14">
        <v>44196</v>
      </c>
      <c r="F311" s="20">
        <f t="shared" si="27"/>
        <v>730</v>
      </c>
      <c r="G311" s="15">
        <v>159000</v>
      </c>
      <c r="H311" s="5" t="s">
        <v>27</v>
      </c>
      <c r="I311" s="10">
        <v>3</v>
      </c>
      <c r="J311" s="10" t="s">
        <v>192</v>
      </c>
      <c r="K311" s="10">
        <v>90</v>
      </c>
      <c r="P311" s="5" t="str">
        <f t="shared" si="25"/>
        <v>EC</v>
      </c>
      <c r="Q311" s="10">
        <f t="shared" si="26"/>
        <v>0</v>
      </c>
    </row>
    <row r="312" spans="1:17" x14ac:dyDescent="0.2">
      <c r="A312" s="30" t="s">
        <v>980</v>
      </c>
      <c r="B312" s="17" t="str">
        <f t="shared" si="30"/>
        <v>143 Preferential tariff quota</v>
      </c>
      <c r="C312" s="17" t="str">
        <f t="shared" si="28"/>
        <v>FCFS</v>
      </c>
      <c r="D312" s="14">
        <v>43466</v>
      </c>
      <c r="E312" s="14">
        <v>44196</v>
      </c>
      <c r="F312" s="20">
        <f t="shared" si="27"/>
        <v>730</v>
      </c>
      <c r="G312" s="15">
        <v>2166000</v>
      </c>
      <c r="H312" s="5" t="s">
        <v>27</v>
      </c>
      <c r="I312" s="10">
        <v>3</v>
      </c>
      <c r="J312" s="10" t="s">
        <v>192</v>
      </c>
      <c r="K312" s="10">
        <v>90</v>
      </c>
      <c r="P312" s="5" t="str">
        <f t="shared" si="25"/>
        <v>EC</v>
      </c>
      <c r="Q312" s="10">
        <f t="shared" si="26"/>
        <v>0</v>
      </c>
    </row>
    <row r="313" spans="1:17" x14ac:dyDescent="0.2">
      <c r="A313" s="30" t="s">
        <v>981</v>
      </c>
      <c r="B313" s="17" t="str">
        <f t="shared" si="30"/>
        <v>143 Preferential tariff quota</v>
      </c>
      <c r="C313" s="17" t="str">
        <f t="shared" si="28"/>
        <v>FCFS</v>
      </c>
      <c r="D313" s="14">
        <v>43466</v>
      </c>
      <c r="E313" s="14">
        <v>44196</v>
      </c>
      <c r="F313" s="20">
        <f t="shared" si="27"/>
        <v>730</v>
      </c>
      <c r="G313" s="15">
        <v>546000</v>
      </c>
      <c r="H313" s="5" t="s">
        <v>27</v>
      </c>
      <c r="I313" s="10">
        <v>3</v>
      </c>
      <c r="J313" s="10" t="s">
        <v>192</v>
      </c>
      <c r="K313" s="10">
        <v>90</v>
      </c>
      <c r="P313" s="5" t="str">
        <f t="shared" si="25"/>
        <v>EC</v>
      </c>
      <c r="Q313" s="10">
        <f t="shared" si="26"/>
        <v>0</v>
      </c>
    </row>
    <row r="314" spans="1:17" x14ac:dyDescent="0.2">
      <c r="A314" s="30" t="s">
        <v>982</v>
      </c>
      <c r="B314" s="17" t="str">
        <f t="shared" si="30"/>
        <v>143 Preferential tariff quota</v>
      </c>
      <c r="C314" s="17" t="str">
        <f t="shared" si="28"/>
        <v>FCFS</v>
      </c>
      <c r="D314" s="14">
        <v>43466</v>
      </c>
      <c r="E314" s="14">
        <v>44196</v>
      </c>
      <c r="F314" s="20">
        <f t="shared" si="27"/>
        <v>730</v>
      </c>
      <c r="G314" s="15">
        <v>1400</v>
      </c>
      <c r="H314" s="5" t="s">
        <v>27</v>
      </c>
      <c r="I314" s="10">
        <v>3</v>
      </c>
      <c r="J314" s="10" t="s">
        <v>192</v>
      </c>
      <c r="K314" s="10">
        <v>90</v>
      </c>
      <c r="P314" s="5" t="str">
        <f t="shared" si="25"/>
        <v>EC</v>
      </c>
      <c r="Q314" s="10">
        <f t="shared" si="26"/>
        <v>0</v>
      </c>
    </row>
    <row r="315" spans="1:17" x14ac:dyDescent="0.2">
      <c r="A315" s="37" t="s">
        <v>984</v>
      </c>
      <c r="B315" s="17" t="str">
        <f t="shared" si="30"/>
        <v>143 Preferential tariff quota</v>
      </c>
      <c r="C315" s="17" t="str">
        <f t="shared" ref="C315" si="31">IF(LEFT(A315,3)="094","Licensed","FCFS")</f>
        <v>FCFS</v>
      </c>
      <c r="D315" s="14">
        <v>43568</v>
      </c>
      <c r="E315" s="14">
        <v>43677</v>
      </c>
      <c r="F315" s="20">
        <f t="shared" si="27"/>
        <v>109</v>
      </c>
      <c r="G315" s="15">
        <v>616000</v>
      </c>
      <c r="H315" s="5" t="s">
        <v>27</v>
      </c>
      <c r="I315" s="10">
        <v>3</v>
      </c>
      <c r="J315" s="10" t="s">
        <v>192</v>
      </c>
      <c r="K315" s="10">
        <v>90</v>
      </c>
      <c r="P315" s="5" t="str">
        <f t="shared" si="25"/>
        <v>CO</v>
      </c>
      <c r="Q315" s="10">
        <f t="shared" si="26"/>
        <v>0</v>
      </c>
    </row>
    <row r="316" spans="1:17" x14ac:dyDescent="0.2">
      <c r="A316" s="30" t="s">
        <v>985</v>
      </c>
      <c r="B316" s="17" t="str">
        <f t="shared" si="30"/>
        <v>143 Preferential tariff quota</v>
      </c>
      <c r="C316" s="17" t="str">
        <f t="shared" ref="C316:C335" si="32">IF(LEFT(A316,3)="094","Licensed","FCFS")</f>
        <v>FCFS</v>
      </c>
      <c r="D316" s="14">
        <v>43568</v>
      </c>
      <c r="E316" s="14">
        <v>43677</v>
      </c>
      <c r="F316" s="20">
        <f t="shared" si="27"/>
        <v>109</v>
      </c>
      <c r="G316" s="15">
        <v>8000</v>
      </c>
      <c r="H316" s="5" t="s">
        <v>27</v>
      </c>
      <c r="I316" s="10">
        <v>3</v>
      </c>
      <c r="J316" s="10" t="s">
        <v>192</v>
      </c>
      <c r="K316" s="10">
        <v>90</v>
      </c>
      <c r="P316" s="5" t="str">
        <f t="shared" si="25"/>
        <v>CO</v>
      </c>
      <c r="Q316" s="10">
        <f t="shared" si="26"/>
        <v>0</v>
      </c>
    </row>
    <row r="317" spans="1:17" x14ac:dyDescent="0.2">
      <c r="A317" s="30" t="s">
        <v>986</v>
      </c>
      <c r="B317" s="17" t="str">
        <f t="shared" si="30"/>
        <v>143 Preferential tariff quota</v>
      </c>
      <c r="C317" s="17" t="str">
        <f t="shared" si="32"/>
        <v>FCFS</v>
      </c>
      <c r="D317" s="14">
        <v>43568</v>
      </c>
      <c r="E317" s="14">
        <v>43677</v>
      </c>
      <c r="F317" s="20">
        <f t="shared" si="27"/>
        <v>109</v>
      </c>
      <c r="G317" s="15">
        <v>1000</v>
      </c>
      <c r="H317" s="5" t="s">
        <v>27</v>
      </c>
      <c r="I317" s="10">
        <v>3</v>
      </c>
      <c r="J317" s="10" t="s">
        <v>192</v>
      </c>
      <c r="K317" s="10">
        <v>90</v>
      </c>
      <c r="P317" s="5" t="str">
        <f t="shared" si="25"/>
        <v>CO</v>
      </c>
      <c r="Q317" s="10">
        <f t="shared" si="26"/>
        <v>0</v>
      </c>
    </row>
    <row r="318" spans="1:17" x14ac:dyDescent="0.2">
      <c r="A318" s="30" t="s">
        <v>987</v>
      </c>
      <c r="B318" s="17" t="str">
        <f t="shared" si="30"/>
        <v>143 Preferential tariff quota</v>
      </c>
      <c r="C318" s="17" t="str">
        <f t="shared" si="32"/>
        <v>FCFS</v>
      </c>
      <c r="D318" s="14">
        <v>43568</v>
      </c>
      <c r="E318" s="14">
        <v>43677</v>
      </c>
      <c r="F318" s="20">
        <f t="shared" si="27"/>
        <v>109</v>
      </c>
      <c r="G318" s="15">
        <v>4000</v>
      </c>
      <c r="H318" s="5" t="s">
        <v>27</v>
      </c>
      <c r="I318" s="10">
        <v>3</v>
      </c>
      <c r="J318" s="10" t="s">
        <v>192</v>
      </c>
      <c r="K318" s="10">
        <v>90</v>
      </c>
      <c r="P318" s="5" t="str">
        <f t="shared" si="25"/>
        <v>CO</v>
      </c>
      <c r="Q318" s="10">
        <f t="shared" si="26"/>
        <v>0</v>
      </c>
    </row>
    <row r="319" spans="1:17" x14ac:dyDescent="0.2">
      <c r="A319" s="30" t="s">
        <v>988</v>
      </c>
      <c r="B319" s="17" t="str">
        <f t="shared" si="30"/>
        <v>143 Preferential tariff quota</v>
      </c>
      <c r="C319" s="17" t="str">
        <f t="shared" si="32"/>
        <v>FCFS</v>
      </c>
      <c r="D319" s="14">
        <v>43568</v>
      </c>
      <c r="E319" s="14">
        <v>43677</v>
      </c>
      <c r="F319" s="20">
        <f t="shared" si="27"/>
        <v>109</v>
      </c>
      <c r="G319" s="15">
        <v>1000</v>
      </c>
      <c r="H319" s="5" t="s">
        <v>27</v>
      </c>
      <c r="I319" s="10">
        <v>3</v>
      </c>
      <c r="J319" s="10" t="s">
        <v>192</v>
      </c>
      <c r="K319" s="10">
        <v>90</v>
      </c>
      <c r="P319" s="5" t="str">
        <f t="shared" si="25"/>
        <v>CO</v>
      </c>
      <c r="Q319" s="10">
        <f t="shared" si="26"/>
        <v>0</v>
      </c>
    </row>
    <row r="320" spans="1:17" x14ac:dyDescent="0.2">
      <c r="A320" s="30" t="s">
        <v>989</v>
      </c>
      <c r="B320" s="17" t="str">
        <f t="shared" si="30"/>
        <v>143 Preferential tariff quota</v>
      </c>
      <c r="C320" s="17" t="str">
        <f t="shared" si="32"/>
        <v>FCFS</v>
      </c>
      <c r="D320" s="14">
        <v>43568</v>
      </c>
      <c r="E320" s="14">
        <v>43677</v>
      </c>
      <c r="F320" s="20">
        <f t="shared" si="27"/>
        <v>109</v>
      </c>
      <c r="G320" s="15">
        <v>2000</v>
      </c>
      <c r="H320" s="5" t="s">
        <v>27</v>
      </c>
      <c r="I320" s="10">
        <v>3</v>
      </c>
      <c r="J320" s="10" t="s">
        <v>192</v>
      </c>
      <c r="K320" s="10">
        <v>90</v>
      </c>
      <c r="P320" s="5" t="str">
        <f t="shared" si="25"/>
        <v>CO</v>
      </c>
      <c r="Q320" s="10">
        <f t="shared" si="26"/>
        <v>0</v>
      </c>
    </row>
    <row r="321" spans="1:17" x14ac:dyDescent="0.2">
      <c r="A321" s="30" t="s">
        <v>990</v>
      </c>
      <c r="B321" s="17" t="str">
        <f t="shared" si="30"/>
        <v>143 Preferential tariff quota</v>
      </c>
      <c r="C321" s="17" t="str">
        <f t="shared" si="32"/>
        <v>FCFS</v>
      </c>
      <c r="D321" s="14">
        <v>43568</v>
      </c>
      <c r="E321" s="14">
        <v>43677</v>
      </c>
      <c r="F321" s="20">
        <f t="shared" si="27"/>
        <v>109</v>
      </c>
      <c r="G321" s="15">
        <v>1000</v>
      </c>
      <c r="H321" s="5" t="s">
        <v>27</v>
      </c>
      <c r="I321" s="10">
        <v>3</v>
      </c>
      <c r="J321" s="10" t="s">
        <v>192</v>
      </c>
      <c r="K321" s="10">
        <v>90</v>
      </c>
      <c r="P321" s="5" t="str">
        <f t="shared" si="25"/>
        <v>CO</v>
      </c>
      <c r="Q321" s="10">
        <f t="shared" si="26"/>
        <v>0</v>
      </c>
    </row>
    <row r="322" spans="1:17" x14ac:dyDescent="0.2">
      <c r="A322" s="30" t="s">
        <v>991</v>
      </c>
      <c r="B322" s="17" t="str">
        <f t="shared" si="30"/>
        <v>143 Preferential tariff quota</v>
      </c>
      <c r="C322" s="17" t="str">
        <f t="shared" si="32"/>
        <v>FCFS</v>
      </c>
      <c r="D322" s="14">
        <v>43568</v>
      </c>
      <c r="E322" s="14">
        <v>43677</v>
      </c>
      <c r="F322" s="20">
        <f t="shared" si="27"/>
        <v>109</v>
      </c>
      <c r="G322" s="15">
        <v>1000</v>
      </c>
      <c r="H322" s="5" t="s">
        <v>27</v>
      </c>
      <c r="I322" s="10">
        <v>3</v>
      </c>
      <c r="J322" s="10" t="s">
        <v>192</v>
      </c>
      <c r="K322" s="10">
        <v>90</v>
      </c>
      <c r="P322" s="5" t="str">
        <f t="shared" ref="P322:P385" si="33">VLOOKUP(A322, quota_order_numbers2, 6, FALSE)</f>
        <v>CO</v>
      </c>
      <c r="Q322" s="10">
        <f t="shared" ref="Q322:Q385" si="34">VLOOKUP(A322, quota_order_numbers2, 2, FALSE)</f>
        <v>0</v>
      </c>
    </row>
    <row r="323" spans="1:17" x14ac:dyDescent="0.2">
      <c r="A323" s="30" t="s">
        <v>992</v>
      </c>
      <c r="B323" s="17" t="str">
        <f t="shared" si="30"/>
        <v>143 Preferential tariff quota</v>
      </c>
      <c r="C323" s="17" t="str">
        <f t="shared" si="32"/>
        <v>FCFS</v>
      </c>
      <c r="D323" s="14">
        <v>43568</v>
      </c>
      <c r="E323" s="14">
        <v>43677</v>
      </c>
      <c r="F323" s="20">
        <f t="shared" si="27"/>
        <v>109</v>
      </c>
      <c r="G323" s="15">
        <v>7000</v>
      </c>
      <c r="H323" s="5" t="s">
        <v>27</v>
      </c>
      <c r="I323" s="10">
        <v>3</v>
      </c>
      <c r="J323" s="10" t="s">
        <v>192</v>
      </c>
      <c r="K323" s="10">
        <v>90</v>
      </c>
      <c r="P323" s="5" t="str">
        <f t="shared" si="33"/>
        <v>CO</v>
      </c>
      <c r="Q323" s="10">
        <f t="shared" si="34"/>
        <v>0</v>
      </c>
    </row>
    <row r="324" spans="1:17" x14ac:dyDescent="0.2">
      <c r="A324" s="30" t="s">
        <v>993</v>
      </c>
      <c r="B324" s="17" t="str">
        <f t="shared" si="30"/>
        <v>143 Preferential tariff quota</v>
      </c>
      <c r="C324" s="17" t="str">
        <f t="shared" si="32"/>
        <v>FCFS</v>
      </c>
      <c r="D324" s="14">
        <v>43568</v>
      </c>
      <c r="E324" s="14">
        <v>43677</v>
      </c>
      <c r="F324" s="20">
        <f t="shared" si="27"/>
        <v>109</v>
      </c>
      <c r="G324" s="15">
        <v>821</v>
      </c>
      <c r="H324" s="5" t="s">
        <v>47</v>
      </c>
      <c r="I324" s="10">
        <v>3</v>
      </c>
      <c r="J324" s="10" t="s">
        <v>192</v>
      </c>
      <c r="K324" s="10">
        <v>90</v>
      </c>
      <c r="P324" s="5" t="str">
        <f t="shared" si="33"/>
        <v>CO</v>
      </c>
      <c r="Q324" s="10">
        <f t="shared" si="34"/>
        <v>0</v>
      </c>
    </row>
    <row r="325" spans="1:17" x14ac:dyDescent="0.2">
      <c r="A325" s="30" t="s">
        <v>994</v>
      </c>
      <c r="B325" s="17" t="str">
        <f t="shared" si="30"/>
        <v>143 Preferential tariff quota</v>
      </c>
      <c r="C325" s="17" t="str">
        <f t="shared" si="32"/>
        <v>FCFS</v>
      </c>
      <c r="D325" s="14">
        <v>43568</v>
      </c>
      <c r="E325" s="14">
        <v>43677</v>
      </c>
      <c r="F325" s="20">
        <f t="shared" si="27"/>
        <v>109</v>
      </c>
      <c r="G325" s="15">
        <v>2052000</v>
      </c>
      <c r="H325" s="5" t="s">
        <v>27</v>
      </c>
      <c r="I325" s="10">
        <v>3</v>
      </c>
      <c r="J325" s="10" t="s">
        <v>192</v>
      </c>
      <c r="K325" s="10">
        <v>90</v>
      </c>
      <c r="P325" s="5" t="str">
        <f t="shared" si="33"/>
        <v>CO</v>
      </c>
      <c r="Q325" s="10">
        <f t="shared" si="34"/>
        <v>0</v>
      </c>
    </row>
    <row r="326" spans="1:17" x14ac:dyDescent="0.2">
      <c r="A326" s="30" t="s">
        <v>995</v>
      </c>
      <c r="B326" s="17" t="str">
        <f t="shared" si="30"/>
        <v>143 Preferential tariff quota</v>
      </c>
      <c r="C326" s="17" t="str">
        <f t="shared" si="32"/>
        <v>FCFS</v>
      </c>
      <c r="D326" s="14">
        <v>43568</v>
      </c>
      <c r="E326" s="14">
        <v>43677</v>
      </c>
      <c r="F326" s="20">
        <f t="shared" ref="F326:F354" si="35">DATEDIF(D326, E326, "d")</f>
        <v>109</v>
      </c>
      <c r="G326" s="15">
        <v>2052000</v>
      </c>
      <c r="H326" s="5" t="s">
        <v>27</v>
      </c>
      <c r="I326" s="10">
        <v>3</v>
      </c>
      <c r="J326" s="10" t="s">
        <v>192</v>
      </c>
      <c r="K326" s="10">
        <v>90</v>
      </c>
      <c r="P326" s="5" t="str">
        <f t="shared" si="33"/>
        <v>CO</v>
      </c>
      <c r="Q326" s="10">
        <f t="shared" si="34"/>
        <v>0</v>
      </c>
    </row>
    <row r="327" spans="1:17" x14ac:dyDescent="0.2">
      <c r="A327" s="30" t="s">
        <v>996</v>
      </c>
      <c r="B327" s="17" t="str">
        <f t="shared" si="30"/>
        <v>143 Preferential tariff quota</v>
      </c>
      <c r="C327" s="17" t="str">
        <f t="shared" si="32"/>
        <v>FCFS</v>
      </c>
      <c r="D327" s="14">
        <v>43568</v>
      </c>
      <c r="E327" s="14">
        <v>43830</v>
      </c>
      <c r="F327" s="20">
        <f t="shared" si="35"/>
        <v>262</v>
      </c>
      <c r="G327" s="15">
        <v>517000</v>
      </c>
      <c r="H327" s="5" t="s">
        <v>27</v>
      </c>
      <c r="I327" s="10">
        <v>3</v>
      </c>
      <c r="J327" s="10" t="s">
        <v>192</v>
      </c>
      <c r="K327" s="10">
        <v>90</v>
      </c>
      <c r="P327" s="5" t="str">
        <f t="shared" si="33"/>
        <v>CO</v>
      </c>
      <c r="Q327" s="10">
        <f t="shared" si="34"/>
        <v>0</v>
      </c>
    </row>
    <row r="328" spans="1:17" x14ac:dyDescent="0.2">
      <c r="A328" s="30" t="s">
        <v>997</v>
      </c>
      <c r="B328" s="17" t="str">
        <f t="shared" si="30"/>
        <v>143 Preferential tariff quota</v>
      </c>
      <c r="C328" s="17" t="str">
        <f t="shared" si="32"/>
        <v>FCFS</v>
      </c>
      <c r="D328" s="14">
        <v>43568</v>
      </c>
      <c r="E328" s="14">
        <v>43830</v>
      </c>
      <c r="F328" s="20">
        <f t="shared" si="35"/>
        <v>262</v>
      </c>
      <c r="G328" s="15">
        <v>7000</v>
      </c>
      <c r="H328" s="5" t="s">
        <v>27</v>
      </c>
      <c r="I328" s="10">
        <v>3</v>
      </c>
      <c r="J328" s="10" t="s">
        <v>192</v>
      </c>
      <c r="K328" s="10">
        <v>90</v>
      </c>
      <c r="P328" s="5" t="str">
        <f t="shared" si="33"/>
        <v>CO</v>
      </c>
      <c r="Q328" s="10">
        <f t="shared" si="34"/>
        <v>0</v>
      </c>
    </row>
    <row r="329" spans="1:17" x14ac:dyDescent="0.2">
      <c r="A329" s="30" t="s">
        <v>998</v>
      </c>
      <c r="B329" s="17" t="str">
        <f t="shared" si="30"/>
        <v>143 Preferential tariff quota</v>
      </c>
      <c r="C329" s="17" t="str">
        <f t="shared" si="32"/>
        <v>FCFS</v>
      </c>
      <c r="D329" s="14">
        <v>43568</v>
      </c>
      <c r="E329" s="14">
        <v>43830</v>
      </c>
      <c r="F329" s="20">
        <f t="shared" si="35"/>
        <v>262</v>
      </c>
      <c r="G329" s="15">
        <v>12100</v>
      </c>
      <c r="H329" s="5" t="s">
        <v>39</v>
      </c>
      <c r="I329" s="10">
        <v>3</v>
      </c>
      <c r="J329" s="10" t="s">
        <v>192</v>
      </c>
      <c r="K329" s="10">
        <v>90</v>
      </c>
      <c r="P329" s="5" t="str">
        <f t="shared" si="33"/>
        <v>CO</v>
      </c>
      <c r="Q329" s="10">
        <f t="shared" si="34"/>
        <v>0</v>
      </c>
    </row>
    <row r="330" spans="1:17" x14ac:dyDescent="0.2">
      <c r="A330" s="30" t="s">
        <v>999</v>
      </c>
      <c r="B330" s="17" t="str">
        <f t="shared" si="30"/>
        <v>143 Preferential tariff quota</v>
      </c>
      <c r="C330" s="17" t="str">
        <f t="shared" si="32"/>
        <v>FCFS</v>
      </c>
      <c r="D330" s="14">
        <v>43568</v>
      </c>
      <c r="E330" s="14">
        <v>43830</v>
      </c>
      <c r="F330" s="20">
        <f t="shared" si="35"/>
        <v>262</v>
      </c>
      <c r="G330" s="15">
        <v>15000</v>
      </c>
      <c r="H330" s="5" t="s">
        <v>27</v>
      </c>
      <c r="I330" s="10">
        <v>3</v>
      </c>
      <c r="J330" s="10" t="s">
        <v>192</v>
      </c>
      <c r="K330" s="10">
        <v>90</v>
      </c>
      <c r="P330" s="5" t="str">
        <f t="shared" si="33"/>
        <v>CO</v>
      </c>
      <c r="Q330" s="10">
        <f t="shared" si="34"/>
        <v>0</v>
      </c>
    </row>
    <row r="331" spans="1:17" x14ac:dyDescent="0.2">
      <c r="A331" s="30" t="s">
        <v>1000</v>
      </c>
      <c r="B331" s="17" t="str">
        <f t="shared" si="30"/>
        <v>143 Preferential tariff quota</v>
      </c>
      <c r="C331" s="17" t="str">
        <f t="shared" si="32"/>
        <v>FCFS</v>
      </c>
      <c r="D331" s="14">
        <v>43568</v>
      </c>
      <c r="E331" s="14">
        <v>43830</v>
      </c>
      <c r="F331" s="20">
        <f t="shared" si="35"/>
        <v>262</v>
      </c>
      <c r="G331" s="15">
        <v>7000</v>
      </c>
      <c r="H331" s="5" t="s">
        <v>27</v>
      </c>
      <c r="I331" s="10">
        <v>3</v>
      </c>
      <c r="J331" s="10" t="s">
        <v>192</v>
      </c>
      <c r="K331" s="10">
        <v>90</v>
      </c>
      <c r="P331" s="5" t="str">
        <f t="shared" si="33"/>
        <v>CO</v>
      </c>
      <c r="Q331" s="10">
        <f t="shared" si="34"/>
        <v>0</v>
      </c>
    </row>
    <row r="332" spans="1:17" x14ac:dyDescent="0.2">
      <c r="A332" s="30" t="s">
        <v>1001</v>
      </c>
      <c r="B332" s="17" t="str">
        <f t="shared" si="30"/>
        <v>143 Preferential tariff quota</v>
      </c>
      <c r="C332" s="17" t="str">
        <f t="shared" si="32"/>
        <v>FCFS</v>
      </c>
      <c r="D332" s="14">
        <v>43568</v>
      </c>
      <c r="E332" s="14">
        <v>43830</v>
      </c>
      <c r="F332" s="20">
        <f t="shared" si="35"/>
        <v>262</v>
      </c>
      <c r="G332" s="15">
        <v>4222000</v>
      </c>
      <c r="H332" s="5" t="s">
        <v>27</v>
      </c>
      <c r="I332" s="10">
        <v>3</v>
      </c>
      <c r="J332" s="10" t="s">
        <v>192</v>
      </c>
      <c r="K332" s="10">
        <v>90</v>
      </c>
      <c r="P332" s="5" t="str">
        <f t="shared" si="33"/>
        <v>CO</v>
      </c>
      <c r="Q332" s="10">
        <f t="shared" si="34"/>
        <v>0</v>
      </c>
    </row>
    <row r="333" spans="1:17" x14ac:dyDescent="0.2">
      <c r="A333" s="30" t="s">
        <v>1002</v>
      </c>
      <c r="B333" s="17" t="str">
        <f t="shared" si="30"/>
        <v>143 Preferential tariff quota</v>
      </c>
      <c r="C333" s="17" t="str">
        <f t="shared" si="32"/>
        <v>FCFS</v>
      </c>
      <c r="D333" s="14">
        <v>43568</v>
      </c>
      <c r="E333" s="14">
        <v>43830</v>
      </c>
      <c r="F333" s="20">
        <f t="shared" si="35"/>
        <v>262</v>
      </c>
      <c r="G333" s="15">
        <v>1362000</v>
      </c>
      <c r="H333" s="5" t="s">
        <v>27</v>
      </c>
      <c r="I333" s="10">
        <v>3</v>
      </c>
      <c r="J333" s="10" t="s">
        <v>192</v>
      </c>
      <c r="K333" s="10">
        <v>90</v>
      </c>
      <c r="P333" s="5" t="str">
        <f t="shared" si="33"/>
        <v>CO</v>
      </c>
      <c r="Q333" s="10">
        <f t="shared" si="34"/>
        <v>0</v>
      </c>
    </row>
    <row r="334" spans="1:17" x14ac:dyDescent="0.2">
      <c r="A334" s="30" t="s">
        <v>1003</v>
      </c>
      <c r="B334" s="17" t="str">
        <f t="shared" si="30"/>
        <v>143 Preferential tariff quota</v>
      </c>
      <c r="C334" s="17" t="str">
        <f t="shared" si="32"/>
        <v>FCFS</v>
      </c>
      <c r="D334" s="14">
        <v>43568</v>
      </c>
      <c r="E334" s="14">
        <v>43830</v>
      </c>
      <c r="F334" s="20">
        <f t="shared" si="35"/>
        <v>262</v>
      </c>
      <c r="G334" s="15">
        <v>7000</v>
      </c>
      <c r="H334" s="5" t="s">
        <v>27</v>
      </c>
      <c r="I334" s="10">
        <v>3</v>
      </c>
      <c r="J334" s="10" t="s">
        <v>192</v>
      </c>
      <c r="K334" s="10">
        <v>90</v>
      </c>
      <c r="P334" s="5" t="str">
        <f t="shared" si="33"/>
        <v>CO</v>
      </c>
      <c r="Q334" s="10">
        <f t="shared" si="34"/>
        <v>0</v>
      </c>
    </row>
    <row r="335" spans="1:17" x14ac:dyDescent="0.2">
      <c r="A335" s="37" t="s">
        <v>984</v>
      </c>
      <c r="B335" s="17" t="str">
        <f t="shared" si="30"/>
        <v>143 Preferential tariff quota</v>
      </c>
      <c r="C335" s="17" t="str">
        <f t="shared" si="32"/>
        <v>FCFS</v>
      </c>
      <c r="D335" s="14">
        <v>43678</v>
      </c>
      <c r="E335" s="14">
        <v>44043</v>
      </c>
      <c r="F335" s="20">
        <f t="shared" si="35"/>
        <v>365</v>
      </c>
      <c r="G335" s="15">
        <v>2043000</v>
      </c>
      <c r="H335" s="5" t="s">
        <v>27</v>
      </c>
      <c r="I335" s="10">
        <v>3</v>
      </c>
      <c r="J335" s="10" t="s">
        <v>192</v>
      </c>
      <c r="K335" s="10">
        <v>90</v>
      </c>
      <c r="P335" s="5" t="str">
        <f t="shared" si="33"/>
        <v>CO</v>
      </c>
      <c r="Q335" s="10">
        <f t="shared" si="34"/>
        <v>0</v>
      </c>
    </row>
    <row r="336" spans="1:17" x14ac:dyDescent="0.2">
      <c r="A336" s="30" t="s">
        <v>985</v>
      </c>
      <c r="B336" s="17" t="str">
        <f t="shared" ref="B336:B399" si="36">VLOOKUP(A336, quota_order_numbers2, 5, FALSE)</f>
        <v>143 Preferential tariff quota</v>
      </c>
      <c r="C336" s="17" t="str">
        <f t="shared" ref="C336:C354" si="37">IF(LEFT(A336,3)="094","Licensed","FCFS")</f>
        <v>FCFS</v>
      </c>
      <c r="D336" s="14">
        <v>43678</v>
      </c>
      <c r="E336" s="14">
        <v>44043</v>
      </c>
      <c r="F336" s="20">
        <f t="shared" si="35"/>
        <v>365</v>
      </c>
      <c r="G336" s="15">
        <v>27000</v>
      </c>
      <c r="H336" s="5" t="s">
        <v>27</v>
      </c>
      <c r="I336" s="10">
        <v>3</v>
      </c>
      <c r="J336" s="10" t="s">
        <v>192</v>
      </c>
      <c r="K336" s="10">
        <v>90</v>
      </c>
      <c r="P336" s="5" t="str">
        <f t="shared" si="33"/>
        <v>CO</v>
      </c>
      <c r="Q336" s="10">
        <f t="shared" si="34"/>
        <v>0</v>
      </c>
    </row>
    <row r="337" spans="1:17" x14ac:dyDescent="0.2">
      <c r="A337" s="30" t="s">
        <v>986</v>
      </c>
      <c r="B337" s="17" t="str">
        <f t="shared" si="36"/>
        <v>143 Preferential tariff quota</v>
      </c>
      <c r="C337" s="17" t="str">
        <f t="shared" si="37"/>
        <v>FCFS</v>
      </c>
      <c r="D337" s="14">
        <v>43678</v>
      </c>
      <c r="E337" s="14">
        <v>44043</v>
      </c>
      <c r="F337" s="20">
        <f t="shared" si="35"/>
        <v>365</v>
      </c>
      <c r="G337" s="15">
        <v>3000</v>
      </c>
      <c r="H337" s="5" t="s">
        <v>27</v>
      </c>
      <c r="I337" s="10">
        <v>3</v>
      </c>
      <c r="J337" s="10" t="s">
        <v>192</v>
      </c>
      <c r="K337" s="10">
        <v>90</v>
      </c>
      <c r="P337" s="5" t="str">
        <f t="shared" si="33"/>
        <v>CO</v>
      </c>
      <c r="Q337" s="10">
        <f t="shared" si="34"/>
        <v>0</v>
      </c>
    </row>
    <row r="338" spans="1:17" x14ac:dyDescent="0.2">
      <c r="A338" s="30" t="s">
        <v>987</v>
      </c>
      <c r="B338" s="17" t="str">
        <f t="shared" si="36"/>
        <v>143 Preferential tariff quota</v>
      </c>
      <c r="C338" s="17" t="str">
        <f t="shared" si="37"/>
        <v>FCFS</v>
      </c>
      <c r="D338" s="14">
        <v>43678</v>
      </c>
      <c r="E338" s="14">
        <v>44043</v>
      </c>
      <c r="F338" s="20">
        <f t="shared" si="35"/>
        <v>365</v>
      </c>
      <c r="G338" s="15">
        <v>14000</v>
      </c>
      <c r="H338" s="5" t="s">
        <v>27</v>
      </c>
      <c r="I338" s="10">
        <v>3</v>
      </c>
      <c r="J338" s="10" t="s">
        <v>192</v>
      </c>
      <c r="K338" s="10">
        <v>90</v>
      </c>
      <c r="P338" s="5" t="str">
        <f t="shared" si="33"/>
        <v>CO</v>
      </c>
      <c r="Q338" s="10">
        <f t="shared" si="34"/>
        <v>0</v>
      </c>
    </row>
    <row r="339" spans="1:17" x14ac:dyDescent="0.2">
      <c r="A339" s="30" t="s">
        <v>988</v>
      </c>
      <c r="B339" s="17" t="str">
        <f t="shared" si="36"/>
        <v>143 Preferential tariff quota</v>
      </c>
      <c r="C339" s="17" t="str">
        <f t="shared" si="37"/>
        <v>FCFS</v>
      </c>
      <c r="D339" s="14">
        <v>43678</v>
      </c>
      <c r="E339" s="14">
        <v>44043</v>
      </c>
      <c r="F339" s="20">
        <f t="shared" si="35"/>
        <v>365</v>
      </c>
      <c r="G339" s="15">
        <v>3000</v>
      </c>
      <c r="H339" s="5" t="s">
        <v>27</v>
      </c>
      <c r="I339" s="10">
        <v>3</v>
      </c>
      <c r="J339" s="10" t="s">
        <v>192</v>
      </c>
      <c r="K339" s="10">
        <v>90</v>
      </c>
      <c r="P339" s="5" t="str">
        <f t="shared" si="33"/>
        <v>CO</v>
      </c>
      <c r="Q339" s="10">
        <f t="shared" si="34"/>
        <v>0</v>
      </c>
    </row>
    <row r="340" spans="1:17" x14ac:dyDescent="0.2">
      <c r="A340" s="30" t="s">
        <v>989</v>
      </c>
      <c r="B340" s="17" t="str">
        <f t="shared" si="36"/>
        <v>143 Preferential tariff quota</v>
      </c>
      <c r="C340" s="17" t="str">
        <f t="shared" si="37"/>
        <v>FCFS</v>
      </c>
      <c r="D340" s="14">
        <v>43678</v>
      </c>
      <c r="E340" s="14">
        <v>44043</v>
      </c>
      <c r="F340" s="20">
        <f t="shared" si="35"/>
        <v>365</v>
      </c>
      <c r="G340" s="15">
        <v>5000</v>
      </c>
      <c r="H340" s="5" t="s">
        <v>27</v>
      </c>
      <c r="I340" s="10">
        <v>3</v>
      </c>
      <c r="J340" s="10" t="s">
        <v>192</v>
      </c>
      <c r="K340" s="10">
        <v>90</v>
      </c>
      <c r="P340" s="5" t="str">
        <f t="shared" si="33"/>
        <v>CO</v>
      </c>
      <c r="Q340" s="10">
        <f t="shared" si="34"/>
        <v>0</v>
      </c>
    </row>
    <row r="341" spans="1:17" x14ac:dyDescent="0.2">
      <c r="A341" s="30" t="s">
        <v>990</v>
      </c>
      <c r="B341" s="17" t="str">
        <f t="shared" si="36"/>
        <v>143 Preferential tariff quota</v>
      </c>
      <c r="C341" s="17" t="str">
        <f t="shared" si="37"/>
        <v>FCFS</v>
      </c>
      <c r="D341" s="14">
        <v>43678</v>
      </c>
      <c r="E341" s="14">
        <v>44043</v>
      </c>
      <c r="F341" s="20">
        <f t="shared" si="35"/>
        <v>365</v>
      </c>
      <c r="G341" s="15">
        <v>2000</v>
      </c>
      <c r="H341" s="5" t="s">
        <v>27</v>
      </c>
      <c r="I341" s="10">
        <v>3</v>
      </c>
      <c r="J341" s="10" t="s">
        <v>192</v>
      </c>
      <c r="K341" s="10">
        <v>90</v>
      </c>
      <c r="P341" s="5" t="str">
        <f t="shared" si="33"/>
        <v>CO</v>
      </c>
      <c r="Q341" s="10">
        <f t="shared" si="34"/>
        <v>0</v>
      </c>
    </row>
    <row r="342" spans="1:17" x14ac:dyDescent="0.2">
      <c r="A342" s="30" t="s">
        <v>991</v>
      </c>
      <c r="B342" s="17" t="str">
        <f t="shared" si="36"/>
        <v>143 Preferential tariff quota</v>
      </c>
      <c r="C342" s="17" t="str">
        <f t="shared" si="37"/>
        <v>FCFS</v>
      </c>
      <c r="D342" s="14">
        <v>43678</v>
      </c>
      <c r="E342" s="14">
        <v>44043</v>
      </c>
      <c r="F342" s="20">
        <f t="shared" si="35"/>
        <v>365</v>
      </c>
      <c r="G342" s="15">
        <v>3000</v>
      </c>
      <c r="H342" s="5" t="s">
        <v>27</v>
      </c>
      <c r="I342" s="10">
        <v>3</v>
      </c>
      <c r="J342" s="10" t="s">
        <v>192</v>
      </c>
      <c r="K342" s="10">
        <v>90</v>
      </c>
      <c r="P342" s="5" t="str">
        <f t="shared" si="33"/>
        <v>CO</v>
      </c>
      <c r="Q342" s="10">
        <f t="shared" si="34"/>
        <v>0</v>
      </c>
    </row>
    <row r="343" spans="1:17" x14ac:dyDescent="0.2">
      <c r="A343" s="30" t="s">
        <v>992</v>
      </c>
      <c r="B343" s="17" t="str">
        <f t="shared" si="36"/>
        <v>143 Preferential tariff quota</v>
      </c>
      <c r="C343" s="17" t="str">
        <f t="shared" si="37"/>
        <v>FCFS</v>
      </c>
      <c r="D343" s="14">
        <v>43678</v>
      </c>
      <c r="E343" s="14">
        <v>44043</v>
      </c>
      <c r="F343" s="20">
        <f t="shared" si="35"/>
        <v>365</v>
      </c>
      <c r="G343" s="15">
        <v>24000</v>
      </c>
      <c r="H343" s="5" t="s">
        <v>27</v>
      </c>
      <c r="I343" s="10">
        <v>3</v>
      </c>
      <c r="J343" s="10" t="s">
        <v>192</v>
      </c>
      <c r="K343" s="10">
        <v>90</v>
      </c>
      <c r="P343" s="5" t="str">
        <f t="shared" si="33"/>
        <v>CO</v>
      </c>
      <c r="Q343" s="10">
        <f t="shared" si="34"/>
        <v>0</v>
      </c>
    </row>
    <row r="344" spans="1:17" x14ac:dyDescent="0.2">
      <c r="A344" s="30" t="s">
        <v>993</v>
      </c>
      <c r="B344" s="17" t="str">
        <f t="shared" si="36"/>
        <v>143 Preferential tariff quota</v>
      </c>
      <c r="C344" s="17" t="str">
        <f t="shared" si="37"/>
        <v>FCFS</v>
      </c>
      <c r="D344" s="14">
        <v>43678</v>
      </c>
      <c r="E344" s="14">
        <v>44043</v>
      </c>
      <c r="F344" s="20">
        <f t="shared" si="35"/>
        <v>365</v>
      </c>
      <c r="G344" s="15">
        <v>2724</v>
      </c>
      <c r="H344" s="5" t="s">
        <v>47</v>
      </c>
      <c r="I344" s="10">
        <v>3</v>
      </c>
      <c r="J344" s="10" t="s">
        <v>192</v>
      </c>
      <c r="K344" s="10">
        <v>90</v>
      </c>
      <c r="P344" s="5" t="str">
        <f t="shared" si="33"/>
        <v>CO</v>
      </c>
      <c r="Q344" s="10">
        <f t="shared" si="34"/>
        <v>0</v>
      </c>
    </row>
    <row r="345" spans="1:17" x14ac:dyDescent="0.2">
      <c r="A345" s="30" t="s">
        <v>994</v>
      </c>
      <c r="B345" s="17" t="str">
        <f t="shared" si="36"/>
        <v>143 Preferential tariff quota</v>
      </c>
      <c r="C345" s="17" t="str">
        <f t="shared" si="37"/>
        <v>FCFS</v>
      </c>
      <c r="D345" s="14">
        <v>43678</v>
      </c>
      <c r="E345" s="14">
        <v>44043</v>
      </c>
      <c r="F345" s="20">
        <f t="shared" si="35"/>
        <v>365</v>
      </c>
      <c r="G345" s="15">
        <v>6810000</v>
      </c>
      <c r="H345" s="5" t="s">
        <v>27</v>
      </c>
      <c r="I345" s="10">
        <v>3</v>
      </c>
      <c r="J345" s="10" t="s">
        <v>192</v>
      </c>
      <c r="K345" s="10">
        <v>90</v>
      </c>
      <c r="P345" s="5" t="str">
        <f t="shared" si="33"/>
        <v>CO</v>
      </c>
      <c r="Q345" s="10">
        <f t="shared" si="34"/>
        <v>0</v>
      </c>
    </row>
    <row r="346" spans="1:17" x14ac:dyDescent="0.2">
      <c r="A346" s="30" t="s">
        <v>995</v>
      </c>
      <c r="B346" s="17" t="str">
        <f t="shared" si="36"/>
        <v>143 Preferential tariff quota</v>
      </c>
      <c r="C346" s="17" t="str">
        <f t="shared" si="37"/>
        <v>FCFS</v>
      </c>
      <c r="D346" s="14">
        <v>43678</v>
      </c>
      <c r="E346" s="14">
        <v>44043</v>
      </c>
      <c r="F346" s="20">
        <f t="shared" si="35"/>
        <v>365</v>
      </c>
      <c r="G346" s="15">
        <v>6810000</v>
      </c>
      <c r="H346" s="5" t="s">
        <v>27</v>
      </c>
      <c r="I346" s="10">
        <v>3</v>
      </c>
      <c r="J346" s="10" t="s">
        <v>192</v>
      </c>
      <c r="K346" s="10">
        <v>90</v>
      </c>
      <c r="P346" s="5" t="str">
        <f t="shared" si="33"/>
        <v>CO</v>
      </c>
      <c r="Q346" s="10">
        <f t="shared" si="34"/>
        <v>0</v>
      </c>
    </row>
    <row r="347" spans="1:17" x14ac:dyDescent="0.2">
      <c r="A347" s="30" t="s">
        <v>996</v>
      </c>
      <c r="B347" s="17" t="str">
        <f t="shared" si="36"/>
        <v>143 Preferential tariff quota</v>
      </c>
      <c r="C347" s="17" t="str">
        <f t="shared" si="37"/>
        <v>FCFS</v>
      </c>
      <c r="D347" s="14">
        <v>43831</v>
      </c>
      <c r="E347" s="14">
        <v>44196</v>
      </c>
      <c r="F347" s="20">
        <f t="shared" si="35"/>
        <v>365</v>
      </c>
      <c r="G347" s="15">
        <v>718000</v>
      </c>
      <c r="H347" s="5" t="s">
        <v>27</v>
      </c>
      <c r="I347" s="10">
        <v>3</v>
      </c>
      <c r="J347" s="10" t="s">
        <v>192</v>
      </c>
      <c r="K347" s="10">
        <v>90</v>
      </c>
      <c r="P347" s="5" t="str">
        <f t="shared" si="33"/>
        <v>CO</v>
      </c>
      <c r="Q347" s="10">
        <f t="shared" si="34"/>
        <v>0</v>
      </c>
    </row>
    <row r="348" spans="1:17" x14ac:dyDescent="0.2">
      <c r="A348" s="30" t="s">
        <v>997</v>
      </c>
      <c r="B348" s="17" t="str">
        <f t="shared" si="36"/>
        <v>143 Preferential tariff quota</v>
      </c>
      <c r="C348" s="17" t="str">
        <f t="shared" si="37"/>
        <v>FCFS</v>
      </c>
      <c r="D348" s="14">
        <v>43831</v>
      </c>
      <c r="E348" s="14">
        <v>44196</v>
      </c>
      <c r="F348" s="20">
        <f t="shared" si="35"/>
        <v>365</v>
      </c>
      <c r="G348" s="15">
        <v>10000</v>
      </c>
      <c r="H348" s="5" t="s">
        <v>27</v>
      </c>
      <c r="I348" s="10">
        <v>3</v>
      </c>
      <c r="J348" s="10" t="s">
        <v>192</v>
      </c>
      <c r="K348" s="10">
        <v>90</v>
      </c>
      <c r="P348" s="5" t="str">
        <f t="shared" si="33"/>
        <v>CO</v>
      </c>
      <c r="Q348" s="10">
        <f t="shared" si="34"/>
        <v>0</v>
      </c>
    </row>
    <row r="349" spans="1:17" x14ac:dyDescent="0.2">
      <c r="A349" s="30" t="s">
        <v>998</v>
      </c>
      <c r="B349" s="17" t="str">
        <f t="shared" si="36"/>
        <v>143 Preferential tariff quota</v>
      </c>
      <c r="C349" s="17" t="str">
        <f t="shared" si="37"/>
        <v>FCFS</v>
      </c>
      <c r="D349" s="14">
        <v>43831</v>
      </c>
      <c r="E349" s="14">
        <v>44196</v>
      </c>
      <c r="F349" s="20">
        <f t="shared" si="35"/>
        <v>365</v>
      </c>
      <c r="G349" s="15">
        <v>16800</v>
      </c>
      <c r="H349" s="5" t="s">
        <v>39</v>
      </c>
      <c r="I349" s="10">
        <v>3</v>
      </c>
      <c r="J349" s="10" t="s">
        <v>192</v>
      </c>
      <c r="K349" s="10">
        <v>90</v>
      </c>
      <c r="P349" s="5" t="str">
        <f t="shared" si="33"/>
        <v>CO</v>
      </c>
      <c r="Q349" s="10">
        <f t="shared" si="34"/>
        <v>0</v>
      </c>
    </row>
    <row r="350" spans="1:17" x14ac:dyDescent="0.2">
      <c r="A350" s="30" t="s">
        <v>999</v>
      </c>
      <c r="B350" s="17" t="str">
        <f t="shared" si="36"/>
        <v>143 Preferential tariff quota</v>
      </c>
      <c r="C350" s="17" t="str">
        <f t="shared" si="37"/>
        <v>FCFS</v>
      </c>
      <c r="D350" s="14">
        <v>43831</v>
      </c>
      <c r="E350" s="14">
        <v>44196</v>
      </c>
      <c r="F350" s="20">
        <f t="shared" si="35"/>
        <v>365</v>
      </c>
      <c r="G350" s="15">
        <v>21000</v>
      </c>
      <c r="H350" s="5" t="s">
        <v>27</v>
      </c>
      <c r="I350" s="10">
        <v>3</v>
      </c>
      <c r="J350" s="10" t="s">
        <v>192</v>
      </c>
      <c r="K350" s="10">
        <v>90</v>
      </c>
      <c r="P350" s="5" t="str">
        <f t="shared" si="33"/>
        <v>CO</v>
      </c>
      <c r="Q350" s="10">
        <f t="shared" si="34"/>
        <v>0</v>
      </c>
    </row>
    <row r="351" spans="1:17" x14ac:dyDescent="0.2">
      <c r="A351" s="30" t="s">
        <v>1000</v>
      </c>
      <c r="B351" s="17" t="str">
        <f t="shared" si="36"/>
        <v>143 Preferential tariff quota</v>
      </c>
      <c r="C351" s="17" t="str">
        <f t="shared" si="37"/>
        <v>FCFS</v>
      </c>
      <c r="D351" s="14">
        <v>43831</v>
      </c>
      <c r="E351" s="14">
        <v>44196</v>
      </c>
      <c r="F351" s="20">
        <f t="shared" si="35"/>
        <v>365</v>
      </c>
      <c r="G351" s="15">
        <v>10000</v>
      </c>
      <c r="H351" s="5" t="s">
        <v>27</v>
      </c>
      <c r="I351" s="10">
        <v>3</v>
      </c>
      <c r="J351" s="10" t="s">
        <v>192</v>
      </c>
      <c r="K351" s="10">
        <v>90</v>
      </c>
      <c r="P351" s="5" t="str">
        <f t="shared" si="33"/>
        <v>CO</v>
      </c>
      <c r="Q351" s="10">
        <f t="shared" si="34"/>
        <v>0</v>
      </c>
    </row>
    <row r="352" spans="1:17" x14ac:dyDescent="0.2">
      <c r="A352" s="30" t="s">
        <v>1001</v>
      </c>
      <c r="B352" s="17" t="str">
        <f t="shared" si="36"/>
        <v>143 Preferential tariff quota</v>
      </c>
      <c r="C352" s="17" t="str">
        <f t="shared" si="37"/>
        <v>FCFS</v>
      </c>
      <c r="D352" s="14">
        <v>43831</v>
      </c>
      <c r="E352" s="14">
        <v>44196</v>
      </c>
      <c r="F352" s="20">
        <f t="shared" si="35"/>
        <v>365</v>
      </c>
      <c r="G352" s="15">
        <v>5860000</v>
      </c>
      <c r="H352" s="5" t="s">
        <v>27</v>
      </c>
      <c r="I352" s="10">
        <v>3</v>
      </c>
      <c r="J352" s="10" t="s">
        <v>192</v>
      </c>
      <c r="K352" s="10">
        <v>90</v>
      </c>
      <c r="P352" s="5" t="str">
        <f t="shared" si="33"/>
        <v>CO</v>
      </c>
      <c r="Q352" s="10">
        <f t="shared" si="34"/>
        <v>0</v>
      </c>
    </row>
    <row r="353" spans="1:17" x14ac:dyDescent="0.2">
      <c r="A353" s="30" t="s">
        <v>1002</v>
      </c>
      <c r="B353" s="17" t="str">
        <f t="shared" si="36"/>
        <v>143 Preferential tariff quota</v>
      </c>
      <c r="C353" s="17" t="str">
        <f t="shared" si="37"/>
        <v>FCFS</v>
      </c>
      <c r="D353" s="14">
        <v>43831</v>
      </c>
      <c r="E353" s="14">
        <v>44196</v>
      </c>
      <c r="F353" s="20">
        <f t="shared" si="35"/>
        <v>365</v>
      </c>
      <c r="G353" s="15">
        <v>1890000</v>
      </c>
      <c r="H353" s="5" t="s">
        <v>27</v>
      </c>
      <c r="I353" s="10">
        <v>3</v>
      </c>
      <c r="J353" s="10" t="s">
        <v>192</v>
      </c>
      <c r="K353" s="10">
        <v>90</v>
      </c>
      <c r="P353" s="5" t="str">
        <f t="shared" si="33"/>
        <v>CO</v>
      </c>
      <c r="Q353" s="10">
        <f t="shared" si="34"/>
        <v>0</v>
      </c>
    </row>
    <row r="354" spans="1:17" x14ac:dyDescent="0.2">
      <c r="A354" s="30" t="s">
        <v>1003</v>
      </c>
      <c r="B354" s="17" t="str">
        <f t="shared" si="36"/>
        <v>143 Preferential tariff quota</v>
      </c>
      <c r="C354" s="17" t="str">
        <f t="shared" si="37"/>
        <v>FCFS</v>
      </c>
      <c r="D354" s="14">
        <v>43831</v>
      </c>
      <c r="E354" s="14">
        <v>44196</v>
      </c>
      <c r="F354" s="20">
        <f t="shared" si="35"/>
        <v>365</v>
      </c>
      <c r="G354" s="15">
        <v>10000</v>
      </c>
      <c r="H354" s="5" t="s">
        <v>27</v>
      </c>
      <c r="I354" s="10">
        <v>3</v>
      </c>
      <c r="J354" s="10" t="s">
        <v>192</v>
      </c>
      <c r="K354" s="10">
        <v>90</v>
      </c>
      <c r="P354" s="5" t="str">
        <f t="shared" si="33"/>
        <v>CO</v>
      </c>
      <c r="Q354" s="10">
        <f t="shared" si="34"/>
        <v>0</v>
      </c>
    </row>
    <row r="355" spans="1:17" x14ac:dyDescent="0.2">
      <c r="A355" s="22" t="s">
        <v>1006</v>
      </c>
      <c r="B355" s="17" t="str">
        <f t="shared" si="36"/>
        <v>143 Preferential tariff quota</v>
      </c>
      <c r="C355" s="17" t="str">
        <f t="shared" ref="C355" si="38">IF(LEFT(A355,3)="094","Licensed","FCFS")</f>
        <v>FCFS</v>
      </c>
      <c r="D355" s="14">
        <v>43568</v>
      </c>
      <c r="E355" s="14">
        <v>43890</v>
      </c>
      <c r="F355" s="20">
        <f t="shared" ref="F355" si="39">DATEDIF(D355, E355, "d")</f>
        <v>322</v>
      </c>
      <c r="G355" s="38">
        <v>1803000</v>
      </c>
      <c r="H355" s="39" t="s">
        <v>27</v>
      </c>
      <c r="I355" s="40">
        <v>3</v>
      </c>
      <c r="J355" s="40" t="s">
        <v>192</v>
      </c>
      <c r="K355" s="40">
        <v>90</v>
      </c>
      <c r="L355" s="39"/>
      <c r="M355" s="39"/>
      <c r="N355" s="39"/>
      <c r="O355" s="39"/>
      <c r="P355" s="39" t="str">
        <f t="shared" si="33"/>
        <v>PE</v>
      </c>
      <c r="Q355" s="10">
        <f t="shared" si="34"/>
        <v>0</v>
      </c>
    </row>
    <row r="356" spans="1:17" x14ac:dyDescent="0.2">
      <c r="A356" s="4" t="s">
        <v>1007</v>
      </c>
      <c r="B356" s="17" t="str">
        <f t="shared" si="36"/>
        <v>143 Preferential tariff quota</v>
      </c>
      <c r="C356" s="17" t="str">
        <f t="shared" ref="C356:C397" si="40">IF(LEFT(A356,3)="094","Licensed","FCFS")</f>
        <v>FCFS</v>
      </c>
      <c r="D356" s="14">
        <v>43568</v>
      </c>
      <c r="E356" s="14">
        <v>43890</v>
      </c>
      <c r="F356" s="20">
        <f t="shared" ref="F356:F397" si="41">DATEDIF(D356, E356, "d")</f>
        <v>322</v>
      </c>
      <c r="G356" s="38">
        <v>96000</v>
      </c>
      <c r="H356" s="39" t="s">
        <v>27</v>
      </c>
      <c r="I356" s="40">
        <v>3</v>
      </c>
      <c r="J356" s="40" t="s">
        <v>192</v>
      </c>
      <c r="K356" s="40">
        <v>90</v>
      </c>
      <c r="L356" s="39"/>
      <c r="M356" s="39"/>
      <c r="N356" s="39"/>
      <c r="O356" s="39"/>
      <c r="P356" s="39" t="str">
        <f t="shared" si="33"/>
        <v>PE</v>
      </c>
      <c r="Q356" s="10">
        <f t="shared" si="34"/>
        <v>0</v>
      </c>
    </row>
    <row r="357" spans="1:17" x14ac:dyDescent="0.2">
      <c r="A357" s="4" t="s">
        <v>1008</v>
      </c>
      <c r="B357" s="17" t="str">
        <f t="shared" si="36"/>
        <v>143 Preferential tariff quota</v>
      </c>
      <c r="C357" s="17" t="str">
        <f t="shared" si="40"/>
        <v>FCFS</v>
      </c>
      <c r="D357" s="14">
        <v>43568</v>
      </c>
      <c r="E357" s="14">
        <v>43890</v>
      </c>
      <c r="F357" s="20">
        <f t="shared" si="41"/>
        <v>322</v>
      </c>
      <c r="G357" s="38">
        <v>24000</v>
      </c>
      <c r="H357" s="39" t="s">
        <v>27</v>
      </c>
      <c r="I357" s="40">
        <v>3</v>
      </c>
      <c r="J357" s="40" t="s">
        <v>192</v>
      </c>
      <c r="K357" s="40">
        <v>90</v>
      </c>
      <c r="L357" s="39"/>
      <c r="M357" s="39"/>
      <c r="N357" s="39"/>
      <c r="O357" s="39"/>
      <c r="P357" s="39" t="str">
        <f t="shared" si="33"/>
        <v>PE</v>
      </c>
      <c r="Q357" s="10">
        <f t="shared" si="34"/>
        <v>0</v>
      </c>
    </row>
    <row r="358" spans="1:17" x14ac:dyDescent="0.2">
      <c r="A358" s="4" t="s">
        <v>1009</v>
      </c>
      <c r="B358" s="17" t="str">
        <f t="shared" si="36"/>
        <v>143 Preferential tariff quota</v>
      </c>
      <c r="C358" s="17" t="str">
        <f t="shared" si="40"/>
        <v>FCFS</v>
      </c>
      <c r="D358" s="14">
        <v>43568</v>
      </c>
      <c r="E358" s="14">
        <v>43890</v>
      </c>
      <c r="F358" s="20">
        <f t="shared" si="41"/>
        <v>322</v>
      </c>
      <c r="G358" s="38">
        <v>3000</v>
      </c>
      <c r="H358" s="39" t="s">
        <v>27</v>
      </c>
      <c r="I358" s="40">
        <v>3</v>
      </c>
      <c r="J358" s="40" t="s">
        <v>192</v>
      </c>
      <c r="K358" s="40">
        <v>90</v>
      </c>
      <c r="L358" s="39"/>
      <c r="M358" s="39"/>
      <c r="N358" s="39"/>
      <c r="O358" s="39"/>
      <c r="P358" s="39" t="str">
        <f t="shared" si="33"/>
        <v>PE</v>
      </c>
      <c r="Q358" s="10">
        <f t="shared" si="34"/>
        <v>0</v>
      </c>
    </row>
    <row r="359" spans="1:17" x14ac:dyDescent="0.2">
      <c r="A359" s="4" t="s">
        <v>1010</v>
      </c>
      <c r="B359" s="17" t="str">
        <f t="shared" si="36"/>
        <v>143 Preferential tariff quota</v>
      </c>
      <c r="C359" s="17" t="str">
        <f t="shared" si="40"/>
        <v>FCFS</v>
      </c>
      <c r="D359" s="14">
        <v>43568</v>
      </c>
      <c r="E359" s="14">
        <v>43890</v>
      </c>
      <c r="F359" s="20">
        <f t="shared" si="41"/>
        <v>322</v>
      </c>
      <c r="G359" s="38">
        <v>12000</v>
      </c>
      <c r="H359" s="39" t="s">
        <v>27</v>
      </c>
      <c r="I359" s="40">
        <v>3</v>
      </c>
      <c r="J359" s="40" t="s">
        <v>192</v>
      </c>
      <c r="K359" s="40">
        <v>90</v>
      </c>
      <c r="L359" s="39"/>
      <c r="M359" s="39"/>
      <c r="N359" s="39"/>
      <c r="O359" s="39"/>
      <c r="P359" s="39" t="str">
        <f t="shared" si="33"/>
        <v>PE</v>
      </c>
      <c r="Q359" s="10">
        <f t="shared" si="34"/>
        <v>0</v>
      </c>
    </row>
    <row r="360" spans="1:17" x14ac:dyDescent="0.2">
      <c r="A360" s="4" t="s">
        <v>1011</v>
      </c>
      <c r="B360" s="17" t="str">
        <f t="shared" si="36"/>
        <v>143 Preferential tariff quota</v>
      </c>
      <c r="C360" s="17" t="str">
        <f t="shared" si="40"/>
        <v>FCFS</v>
      </c>
      <c r="D360" s="14">
        <v>43568</v>
      </c>
      <c r="E360" s="14">
        <v>43890</v>
      </c>
      <c r="F360" s="20">
        <f t="shared" si="41"/>
        <v>322</v>
      </c>
      <c r="G360" s="38">
        <v>3000</v>
      </c>
      <c r="H360" s="39" t="s">
        <v>27</v>
      </c>
      <c r="I360" s="40">
        <v>3</v>
      </c>
      <c r="J360" s="40" t="s">
        <v>192</v>
      </c>
      <c r="K360" s="40">
        <v>90</v>
      </c>
      <c r="L360" s="39"/>
      <c r="M360" s="39"/>
      <c r="N360" s="39"/>
      <c r="O360" s="39"/>
      <c r="P360" s="39" t="str">
        <f t="shared" si="33"/>
        <v>PE</v>
      </c>
      <c r="Q360" s="10">
        <f t="shared" si="34"/>
        <v>0</v>
      </c>
    </row>
    <row r="361" spans="1:17" x14ac:dyDescent="0.2">
      <c r="A361" s="4" t="s">
        <v>1012</v>
      </c>
      <c r="B361" s="17" t="str">
        <f t="shared" si="36"/>
        <v>143 Preferential tariff quota</v>
      </c>
      <c r="C361" s="17" t="str">
        <f t="shared" si="40"/>
        <v>FCFS</v>
      </c>
      <c r="D361" s="14">
        <v>43568</v>
      </c>
      <c r="E361" s="14">
        <v>43890</v>
      </c>
      <c r="F361" s="20">
        <f t="shared" si="41"/>
        <v>322</v>
      </c>
      <c r="G361" s="38">
        <v>5000</v>
      </c>
      <c r="H361" s="39" t="s">
        <v>27</v>
      </c>
      <c r="I361" s="40">
        <v>3</v>
      </c>
      <c r="J361" s="40" t="s">
        <v>192</v>
      </c>
      <c r="K361" s="40">
        <v>90</v>
      </c>
      <c r="L361" s="39"/>
      <c r="M361" s="39"/>
      <c r="N361" s="39"/>
      <c r="O361" s="39"/>
      <c r="P361" s="39" t="str">
        <f t="shared" si="33"/>
        <v>PE</v>
      </c>
      <c r="Q361" s="10">
        <f t="shared" si="34"/>
        <v>0</v>
      </c>
    </row>
    <row r="362" spans="1:17" x14ac:dyDescent="0.2">
      <c r="A362" s="4" t="s">
        <v>1013</v>
      </c>
      <c r="B362" s="17" t="str">
        <f t="shared" si="36"/>
        <v>143 Preferential tariff quota</v>
      </c>
      <c r="C362" s="17" t="str">
        <f t="shared" si="40"/>
        <v>FCFS</v>
      </c>
      <c r="D362" s="14">
        <v>43568</v>
      </c>
      <c r="E362" s="14">
        <v>43890</v>
      </c>
      <c r="F362" s="20">
        <f t="shared" si="41"/>
        <v>322</v>
      </c>
      <c r="G362" s="38">
        <v>2000</v>
      </c>
      <c r="H362" s="39" t="s">
        <v>27</v>
      </c>
      <c r="I362" s="40">
        <v>3</v>
      </c>
      <c r="J362" s="40" t="s">
        <v>192</v>
      </c>
      <c r="K362" s="40">
        <v>90</v>
      </c>
      <c r="L362" s="39"/>
      <c r="M362" s="39"/>
      <c r="N362" s="39"/>
      <c r="O362" s="39"/>
      <c r="P362" s="39" t="str">
        <f t="shared" si="33"/>
        <v>PE</v>
      </c>
      <c r="Q362" s="10">
        <f t="shared" si="34"/>
        <v>0</v>
      </c>
    </row>
    <row r="363" spans="1:17" x14ac:dyDescent="0.2">
      <c r="A363" s="4" t="s">
        <v>1014</v>
      </c>
      <c r="B363" s="17" t="str">
        <f t="shared" si="36"/>
        <v>143 Preferential tariff quota</v>
      </c>
      <c r="C363" s="17" t="str">
        <f t="shared" si="40"/>
        <v>FCFS</v>
      </c>
      <c r="D363" s="14">
        <v>43568</v>
      </c>
      <c r="E363" s="14">
        <v>43890</v>
      </c>
      <c r="F363" s="20">
        <f t="shared" si="41"/>
        <v>322</v>
      </c>
      <c r="G363" s="38">
        <v>3000</v>
      </c>
      <c r="H363" s="39" t="s">
        <v>27</v>
      </c>
      <c r="I363" s="40">
        <v>3</v>
      </c>
      <c r="J363" s="40" t="s">
        <v>192</v>
      </c>
      <c r="K363" s="40">
        <v>90</v>
      </c>
      <c r="L363" s="39"/>
      <c r="M363" s="39"/>
      <c r="N363" s="39"/>
      <c r="O363" s="39"/>
      <c r="P363" s="39" t="str">
        <f t="shared" si="33"/>
        <v>PE</v>
      </c>
      <c r="Q363" s="10">
        <f t="shared" si="34"/>
        <v>0</v>
      </c>
    </row>
    <row r="364" spans="1:17" x14ac:dyDescent="0.2">
      <c r="A364" s="4" t="s">
        <v>1015</v>
      </c>
      <c r="B364" s="17" t="str">
        <f t="shared" si="36"/>
        <v>143 Preferential tariff quota</v>
      </c>
      <c r="C364" s="17" t="str">
        <f t="shared" si="40"/>
        <v>FCFS</v>
      </c>
      <c r="D364" s="14">
        <v>43568</v>
      </c>
      <c r="E364" s="14">
        <v>43890</v>
      </c>
      <c r="F364" s="20">
        <f t="shared" si="41"/>
        <v>322</v>
      </c>
      <c r="G364" s="38">
        <v>21000</v>
      </c>
      <c r="H364" s="39" t="s">
        <v>27</v>
      </c>
      <c r="I364" s="40">
        <v>3</v>
      </c>
      <c r="J364" s="40" t="s">
        <v>192</v>
      </c>
      <c r="K364" s="40">
        <v>90</v>
      </c>
      <c r="L364" s="39"/>
      <c r="M364" s="39"/>
      <c r="N364" s="39"/>
      <c r="O364" s="39"/>
      <c r="P364" s="39" t="str">
        <f t="shared" si="33"/>
        <v>PE</v>
      </c>
      <c r="Q364" s="10">
        <f t="shared" si="34"/>
        <v>0</v>
      </c>
    </row>
    <row r="365" spans="1:17" x14ac:dyDescent="0.2">
      <c r="A365" s="4" t="s">
        <v>1016</v>
      </c>
      <c r="B365" s="17" t="str">
        <f t="shared" si="36"/>
        <v>143 Preferential tariff quota</v>
      </c>
      <c r="C365" s="17" t="str">
        <f t="shared" si="40"/>
        <v>FCFS</v>
      </c>
      <c r="D365" s="14">
        <v>43568</v>
      </c>
      <c r="E365" s="14">
        <v>43890</v>
      </c>
      <c r="F365" s="20">
        <f t="shared" si="41"/>
        <v>322</v>
      </c>
      <c r="G365" s="38">
        <v>2404</v>
      </c>
      <c r="H365" s="39" t="s">
        <v>47</v>
      </c>
      <c r="I365" s="40">
        <v>3</v>
      </c>
      <c r="J365" s="40" t="s">
        <v>192</v>
      </c>
      <c r="K365" s="40">
        <v>90</v>
      </c>
      <c r="L365" s="39"/>
      <c r="M365" s="39"/>
      <c r="N365" s="39"/>
      <c r="O365" s="39"/>
      <c r="P365" s="39" t="str">
        <f t="shared" si="33"/>
        <v>PE</v>
      </c>
      <c r="Q365" s="10">
        <f t="shared" si="34"/>
        <v>0</v>
      </c>
    </row>
    <row r="366" spans="1:17" x14ac:dyDescent="0.2">
      <c r="A366" s="4" t="s">
        <v>1017</v>
      </c>
      <c r="B366" s="17" t="str">
        <f t="shared" si="36"/>
        <v>143 Preferential tariff quota</v>
      </c>
      <c r="C366" s="17" t="str">
        <f t="shared" si="40"/>
        <v>FCFS</v>
      </c>
      <c r="D366" s="14">
        <v>43568</v>
      </c>
      <c r="E366" s="14">
        <v>43890</v>
      </c>
      <c r="F366" s="20">
        <f t="shared" si="41"/>
        <v>322</v>
      </c>
      <c r="G366" s="38">
        <v>6010000</v>
      </c>
      <c r="H366" s="39" t="s">
        <v>27</v>
      </c>
      <c r="I366" s="40">
        <v>3</v>
      </c>
      <c r="J366" s="40" t="s">
        <v>192</v>
      </c>
      <c r="K366" s="40">
        <v>90</v>
      </c>
      <c r="L366" s="39"/>
      <c r="M366" s="39"/>
      <c r="N366" s="39"/>
      <c r="O366" s="39"/>
      <c r="P366" s="39" t="str">
        <f t="shared" si="33"/>
        <v>PE</v>
      </c>
      <c r="Q366" s="10">
        <f t="shared" si="34"/>
        <v>0</v>
      </c>
    </row>
    <row r="367" spans="1:17" x14ac:dyDescent="0.2">
      <c r="A367" s="4" t="s">
        <v>1018</v>
      </c>
      <c r="B367" s="17" t="str">
        <f t="shared" si="36"/>
        <v>143 Preferential tariff quota</v>
      </c>
      <c r="C367" s="17" t="str">
        <f t="shared" si="40"/>
        <v>FCFS</v>
      </c>
      <c r="D367" s="14">
        <v>43568</v>
      </c>
      <c r="E367" s="14">
        <v>43890</v>
      </c>
      <c r="F367" s="20">
        <f t="shared" si="41"/>
        <v>322</v>
      </c>
      <c r="G367" s="38">
        <v>6010000</v>
      </c>
      <c r="H367" s="39" t="s">
        <v>27</v>
      </c>
      <c r="I367" s="40">
        <v>3</v>
      </c>
      <c r="J367" s="40" t="s">
        <v>192</v>
      </c>
      <c r="K367" s="40">
        <v>90</v>
      </c>
      <c r="L367" s="39"/>
      <c r="M367" s="39"/>
      <c r="N367" s="39"/>
      <c r="O367" s="39"/>
      <c r="P367" s="39" t="str">
        <f t="shared" si="33"/>
        <v>PE</v>
      </c>
      <c r="Q367" s="10">
        <f t="shared" si="34"/>
        <v>0</v>
      </c>
    </row>
    <row r="368" spans="1:17" x14ac:dyDescent="0.2">
      <c r="A368" s="4" t="s">
        <v>1019</v>
      </c>
      <c r="B368" s="17" t="str">
        <f t="shared" si="36"/>
        <v>143 Preferential tariff quota</v>
      </c>
      <c r="C368" s="17" t="str">
        <f t="shared" si="40"/>
        <v>FCFS</v>
      </c>
      <c r="D368" s="14">
        <v>43568</v>
      </c>
      <c r="E368" s="14">
        <v>43890</v>
      </c>
      <c r="F368" s="20">
        <f t="shared" si="41"/>
        <v>322</v>
      </c>
      <c r="G368" s="38">
        <v>588000</v>
      </c>
      <c r="H368" s="39" t="s">
        <v>27</v>
      </c>
      <c r="I368" s="40">
        <v>3</v>
      </c>
      <c r="J368" s="40" t="s">
        <v>192</v>
      </c>
      <c r="K368" s="40">
        <v>90</v>
      </c>
      <c r="L368" s="39"/>
      <c r="M368" s="39"/>
      <c r="N368" s="39"/>
      <c r="O368" s="39"/>
      <c r="P368" s="39" t="str">
        <f t="shared" si="33"/>
        <v>PE</v>
      </c>
      <c r="Q368" s="10">
        <f t="shared" si="34"/>
        <v>0</v>
      </c>
    </row>
    <row r="369" spans="1:17" x14ac:dyDescent="0.2">
      <c r="A369" s="4" t="s">
        <v>1020</v>
      </c>
      <c r="B369" s="17" t="str">
        <f t="shared" si="36"/>
        <v>143 Preferential tariff quota</v>
      </c>
      <c r="C369" s="17" t="str">
        <f t="shared" si="40"/>
        <v>FCFS</v>
      </c>
      <c r="D369" s="14">
        <v>43568</v>
      </c>
      <c r="E369" s="14">
        <v>43890</v>
      </c>
      <c r="F369" s="20">
        <f t="shared" si="41"/>
        <v>322</v>
      </c>
      <c r="G369" s="38">
        <v>18000</v>
      </c>
      <c r="H369" s="39" t="s">
        <v>27</v>
      </c>
      <c r="I369" s="40">
        <v>3</v>
      </c>
      <c r="J369" s="40" t="s">
        <v>192</v>
      </c>
      <c r="K369" s="40">
        <v>90</v>
      </c>
      <c r="L369" s="39"/>
      <c r="M369" s="39"/>
      <c r="N369" s="39"/>
      <c r="O369" s="39"/>
      <c r="P369" s="39" t="str">
        <f t="shared" si="33"/>
        <v>PE</v>
      </c>
      <c r="Q369" s="10">
        <f t="shared" si="34"/>
        <v>0</v>
      </c>
    </row>
    <row r="370" spans="1:17" x14ac:dyDescent="0.2">
      <c r="A370" s="4" t="s">
        <v>1021</v>
      </c>
      <c r="B370" s="17" t="str">
        <f t="shared" si="36"/>
        <v>143 Preferential tariff quota</v>
      </c>
      <c r="C370" s="17" t="str">
        <f t="shared" si="40"/>
        <v>FCFS</v>
      </c>
      <c r="D370" s="14">
        <v>43568</v>
      </c>
      <c r="E370" s="14">
        <v>43890</v>
      </c>
      <c r="F370" s="20">
        <f t="shared" si="41"/>
        <v>322</v>
      </c>
      <c r="G370" s="38">
        <v>9000</v>
      </c>
      <c r="H370" s="39" t="s">
        <v>27</v>
      </c>
      <c r="I370" s="40">
        <v>3</v>
      </c>
      <c r="J370" s="40" t="s">
        <v>192</v>
      </c>
      <c r="K370" s="40">
        <v>90</v>
      </c>
      <c r="L370" s="39"/>
      <c r="M370" s="39"/>
      <c r="N370" s="39"/>
      <c r="O370" s="39"/>
      <c r="P370" s="39" t="str">
        <f t="shared" si="33"/>
        <v>PE</v>
      </c>
      <c r="Q370" s="10">
        <f t="shared" si="34"/>
        <v>0</v>
      </c>
    </row>
    <row r="371" spans="1:17" x14ac:dyDescent="0.2">
      <c r="A371" s="4" t="s">
        <v>1022</v>
      </c>
      <c r="B371" s="17" t="str">
        <f t="shared" si="36"/>
        <v>143 Preferential tariff quota</v>
      </c>
      <c r="C371" s="17" t="str">
        <f t="shared" si="40"/>
        <v>FCFS</v>
      </c>
      <c r="D371" s="14">
        <v>43568</v>
      </c>
      <c r="E371" s="14">
        <v>43890</v>
      </c>
      <c r="F371" s="20">
        <f t="shared" si="41"/>
        <v>322</v>
      </c>
      <c r="G371" s="38">
        <v>618000</v>
      </c>
      <c r="H371" s="39" t="s">
        <v>27</v>
      </c>
      <c r="I371" s="40">
        <v>3</v>
      </c>
      <c r="J371" s="40" t="s">
        <v>192</v>
      </c>
      <c r="K371" s="40">
        <v>90</v>
      </c>
      <c r="L371" s="39"/>
      <c r="M371" s="39"/>
      <c r="N371" s="39"/>
      <c r="O371" s="39"/>
      <c r="P371" s="39" t="str">
        <f t="shared" si="33"/>
        <v>PE</v>
      </c>
      <c r="Q371" s="10">
        <f t="shared" si="34"/>
        <v>0</v>
      </c>
    </row>
    <row r="372" spans="1:17" x14ac:dyDescent="0.2">
      <c r="A372" s="4" t="s">
        <v>1023</v>
      </c>
      <c r="B372" s="17" t="str">
        <f t="shared" si="36"/>
        <v>143 Preferential tariff quota</v>
      </c>
      <c r="C372" s="17" t="str">
        <f t="shared" si="40"/>
        <v>FCFS</v>
      </c>
      <c r="D372" s="14">
        <v>43568</v>
      </c>
      <c r="E372" s="14">
        <v>43890</v>
      </c>
      <c r="F372" s="20">
        <f t="shared" si="41"/>
        <v>322</v>
      </c>
      <c r="G372" s="38">
        <v>368000</v>
      </c>
      <c r="H372" s="39" t="s">
        <v>27</v>
      </c>
      <c r="I372" s="40">
        <v>3</v>
      </c>
      <c r="J372" s="40" t="s">
        <v>192</v>
      </c>
      <c r="K372" s="40">
        <v>90</v>
      </c>
      <c r="L372" s="39"/>
      <c r="M372" s="39"/>
      <c r="N372" s="39"/>
      <c r="O372" s="39"/>
      <c r="P372" s="39" t="str">
        <f t="shared" si="33"/>
        <v>PE</v>
      </c>
      <c r="Q372" s="10">
        <f t="shared" si="34"/>
        <v>0</v>
      </c>
    </row>
    <row r="373" spans="1:17" x14ac:dyDescent="0.2">
      <c r="A373" s="4" t="s">
        <v>1024</v>
      </c>
      <c r="B373" s="17" t="str">
        <f t="shared" si="36"/>
        <v>143 Preferential tariff quota</v>
      </c>
      <c r="C373" s="17" t="str">
        <f t="shared" si="40"/>
        <v>FCFS</v>
      </c>
      <c r="D373" s="14">
        <v>43568</v>
      </c>
      <c r="E373" s="14">
        <v>43890</v>
      </c>
      <c r="F373" s="20">
        <f t="shared" si="41"/>
        <v>322</v>
      </c>
      <c r="G373" s="38">
        <v>294000</v>
      </c>
      <c r="H373" s="39" t="s">
        <v>27</v>
      </c>
      <c r="I373" s="40">
        <v>3</v>
      </c>
      <c r="J373" s="40" t="s">
        <v>192</v>
      </c>
      <c r="K373" s="40">
        <v>90</v>
      </c>
      <c r="L373" s="39"/>
      <c r="M373" s="39"/>
      <c r="N373" s="39"/>
      <c r="O373" s="39"/>
      <c r="P373" s="39" t="str">
        <f t="shared" si="33"/>
        <v>PE</v>
      </c>
      <c r="Q373" s="10">
        <f t="shared" si="34"/>
        <v>0</v>
      </c>
    </row>
    <row r="374" spans="1:17" x14ac:dyDescent="0.2">
      <c r="A374" s="4" t="s">
        <v>1025</v>
      </c>
      <c r="B374" s="17" t="str">
        <f t="shared" si="36"/>
        <v>143 Preferential tariff quota</v>
      </c>
      <c r="C374" s="17" t="str">
        <f t="shared" si="40"/>
        <v>FCFS</v>
      </c>
      <c r="D374" s="14">
        <v>43568</v>
      </c>
      <c r="E374" s="14">
        <v>43890</v>
      </c>
      <c r="F374" s="20">
        <f t="shared" si="41"/>
        <v>322</v>
      </c>
      <c r="G374" s="38">
        <v>118000</v>
      </c>
      <c r="H374" s="39" t="s">
        <v>27</v>
      </c>
      <c r="I374" s="40">
        <v>3</v>
      </c>
      <c r="J374" s="40" t="s">
        <v>192</v>
      </c>
      <c r="K374" s="40">
        <v>90</v>
      </c>
      <c r="L374" s="39"/>
      <c r="M374" s="39"/>
      <c r="N374" s="39"/>
      <c r="O374" s="39"/>
      <c r="P374" s="39" t="str">
        <f t="shared" si="33"/>
        <v>PE</v>
      </c>
      <c r="Q374" s="10">
        <f t="shared" si="34"/>
        <v>0</v>
      </c>
    </row>
    <row r="375" spans="1:17" x14ac:dyDescent="0.2">
      <c r="A375" s="4" t="s">
        <v>1026</v>
      </c>
      <c r="B375" s="17" t="str">
        <f t="shared" si="36"/>
        <v>143 Preferential tariff quota</v>
      </c>
      <c r="C375" s="17" t="str">
        <f t="shared" si="40"/>
        <v>FCFS</v>
      </c>
      <c r="D375" s="14">
        <v>43568</v>
      </c>
      <c r="E375" s="14">
        <v>43890</v>
      </c>
      <c r="F375" s="20">
        <f t="shared" si="41"/>
        <v>322</v>
      </c>
      <c r="G375" s="38">
        <v>3000</v>
      </c>
      <c r="H375" s="39" t="s">
        <v>27</v>
      </c>
      <c r="I375" s="40">
        <v>3</v>
      </c>
      <c r="J375" s="40" t="s">
        <v>192</v>
      </c>
      <c r="K375" s="40">
        <v>90</v>
      </c>
      <c r="L375" s="39"/>
      <c r="M375" s="39"/>
      <c r="N375" s="39"/>
      <c r="O375" s="39"/>
      <c r="P375" s="39" t="str">
        <f t="shared" si="33"/>
        <v>PE</v>
      </c>
      <c r="Q375" s="10">
        <f t="shared" si="34"/>
        <v>0</v>
      </c>
    </row>
    <row r="376" spans="1:17" x14ac:dyDescent="0.2">
      <c r="A376" s="4" t="s">
        <v>1027</v>
      </c>
      <c r="B376" s="17" t="str">
        <f t="shared" si="36"/>
        <v>143 Preferential tariff quota</v>
      </c>
      <c r="C376" s="17" t="str">
        <f t="shared" si="40"/>
        <v>FCFS</v>
      </c>
      <c r="D376" s="14">
        <v>43568</v>
      </c>
      <c r="E376" s="14">
        <v>43890</v>
      </c>
      <c r="F376" s="20">
        <f t="shared" si="41"/>
        <v>322</v>
      </c>
      <c r="G376" s="38">
        <v>59000</v>
      </c>
      <c r="H376" s="39" t="s">
        <v>27</v>
      </c>
      <c r="I376" s="40">
        <v>3</v>
      </c>
      <c r="J376" s="40" t="s">
        <v>192</v>
      </c>
      <c r="K376" s="40">
        <v>90</v>
      </c>
      <c r="L376" s="39"/>
      <c r="M376" s="39"/>
      <c r="N376" s="39"/>
      <c r="O376" s="39"/>
      <c r="P376" s="39" t="str">
        <f t="shared" si="33"/>
        <v>PE</v>
      </c>
      <c r="Q376" s="10">
        <f t="shared" si="34"/>
        <v>0</v>
      </c>
    </row>
    <row r="377" spans="1:17" x14ac:dyDescent="0.2">
      <c r="A377" s="4" t="s">
        <v>1028</v>
      </c>
      <c r="B377" s="17" t="str">
        <f t="shared" si="36"/>
        <v>143 Preferential tariff quota</v>
      </c>
      <c r="C377" s="17" t="str">
        <f t="shared" si="40"/>
        <v>FCFS</v>
      </c>
      <c r="D377" s="14">
        <v>43568</v>
      </c>
      <c r="E377" s="14">
        <v>43890</v>
      </c>
      <c r="F377" s="20">
        <f t="shared" si="41"/>
        <v>322</v>
      </c>
      <c r="G377" s="38">
        <v>5000</v>
      </c>
      <c r="H377" s="39" t="s">
        <v>27</v>
      </c>
      <c r="I377" s="40">
        <v>3</v>
      </c>
      <c r="J377" s="40" t="s">
        <v>192</v>
      </c>
      <c r="K377" s="40">
        <v>90</v>
      </c>
      <c r="L377" s="39"/>
      <c r="M377" s="39"/>
      <c r="N377" s="39"/>
      <c r="O377" s="39"/>
      <c r="P377" s="39" t="str">
        <f t="shared" si="33"/>
        <v>PE</v>
      </c>
      <c r="Q377" s="10">
        <f t="shared" si="34"/>
        <v>0</v>
      </c>
    </row>
    <row r="378" spans="1:17" x14ac:dyDescent="0.2">
      <c r="A378" s="4" t="s">
        <v>1029</v>
      </c>
      <c r="B378" s="17" t="str">
        <f t="shared" si="36"/>
        <v>143 Preferential tariff quota</v>
      </c>
      <c r="C378" s="17" t="str">
        <f t="shared" si="40"/>
        <v>FCFS</v>
      </c>
      <c r="D378" s="14">
        <v>43568</v>
      </c>
      <c r="E378" s="14">
        <v>43890</v>
      </c>
      <c r="F378" s="20">
        <f t="shared" si="41"/>
        <v>322</v>
      </c>
      <c r="G378" s="38">
        <v>74000</v>
      </c>
      <c r="H378" s="39" t="s">
        <v>27</v>
      </c>
      <c r="I378" s="40">
        <v>3</v>
      </c>
      <c r="J378" s="40" t="s">
        <v>192</v>
      </c>
      <c r="K378" s="40">
        <v>90</v>
      </c>
      <c r="L378" s="39"/>
      <c r="M378" s="39"/>
      <c r="N378" s="39"/>
      <c r="O378" s="39"/>
      <c r="P378" s="39" t="str">
        <f t="shared" si="33"/>
        <v>PE</v>
      </c>
      <c r="Q378" s="10">
        <f t="shared" si="34"/>
        <v>0</v>
      </c>
    </row>
    <row r="379" spans="1:17" x14ac:dyDescent="0.2">
      <c r="A379" s="4" t="s">
        <v>1030</v>
      </c>
      <c r="B379" s="17" t="str">
        <f t="shared" si="36"/>
        <v>143 Preferential tariff quota</v>
      </c>
      <c r="C379" s="17" t="str">
        <f t="shared" si="40"/>
        <v>FCFS</v>
      </c>
      <c r="D379" s="14">
        <v>43568</v>
      </c>
      <c r="E379" s="14">
        <v>43830</v>
      </c>
      <c r="F379" s="20">
        <f t="shared" si="41"/>
        <v>262</v>
      </c>
      <c r="G379" s="38">
        <v>338000</v>
      </c>
      <c r="H379" s="39" t="s">
        <v>27</v>
      </c>
      <c r="I379" s="40">
        <v>3</v>
      </c>
      <c r="J379" s="40" t="s">
        <v>192</v>
      </c>
      <c r="K379" s="40">
        <v>90</v>
      </c>
      <c r="L379" s="39"/>
      <c r="M379" s="39"/>
      <c r="N379" s="39"/>
      <c r="O379" s="39"/>
      <c r="P379" s="39" t="str">
        <f t="shared" si="33"/>
        <v>PE</v>
      </c>
      <c r="Q379" s="10">
        <f t="shared" si="34"/>
        <v>0</v>
      </c>
    </row>
    <row r="380" spans="1:17" x14ac:dyDescent="0.2">
      <c r="A380" s="4" t="s">
        <v>1031</v>
      </c>
      <c r="B380" s="17" t="str">
        <f t="shared" si="36"/>
        <v>143 Preferential tariff quota</v>
      </c>
      <c r="C380" s="17" t="str">
        <f t="shared" si="40"/>
        <v>FCFS</v>
      </c>
      <c r="D380" s="14">
        <v>43568</v>
      </c>
      <c r="E380" s="14">
        <v>43830</v>
      </c>
      <c r="F380" s="20">
        <f t="shared" si="41"/>
        <v>262</v>
      </c>
      <c r="G380" s="38">
        <v>298000</v>
      </c>
      <c r="H380" s="39" t="s">
        <v>27</v>
      </c>
      <c r="I380" s="40">
        <v>3</v>
      </c>
      <c r="J380" s="40" t="s">
        <v>192</v>
      </c>
      <c r="K380" s="40">
        <v>90</v>
      </c>
      <c r="L380" s="39"/>
      <c r="M380" s="39"/>
      <c r="N380" s="39"/>
      <c r="O380" s="39"/>
      <c r="P380" s="39" t="str">
        <f t="shared" si="33"/>
        <v>PE</v>
      </c>
      <c r="Q380" s="10">
        <f t="shared" si="34"/>
        <v>0</v>
      </c>
    </row>
    <row r="381" spans="1:17" x14ac:dyDescent="0.2">
      <c r="A381" s="4" t="s">
        <v>1032</v>
      </c>
      <c r="B381" s="17" t="str">
        <f t="shared" si="36"/>
        <v>143 Preferential tariff quota</v>
      </c>
      <c r="C381" s="17" t="str">
        <f t="shared" si="40"/>
        <v>FCFS</v>
      </c>
      <c r="D381" s="14">
        <v>43568</v>
      </c>
      <c r="E381" s="14">
        <v>43830</v>
      </c>
      <c r="F381" s="20">
        <f t="shared" si="41"/>
        <v>262</v>
      </c>
      <c r="G381" s="38">
        <v>79000</v>
      </c>
      <c r="H381" s="39" t="s">
        <v>27</v>
      </c>
      <c r="I381" s="40">
        <v>3</v>
      </c>
      <c r="J381" s="40" t="s">
        <v>192</v>
      </c>
      <c r="K381" s="40">
        <v>90</v>
      </c>
      <c r="L381" s="39"/>
      <c r="M381" s="39"/>
      <c r="N381" s="39"/>
      <c r="O381" s="39"/>
      <c r="P381" s="39" t="str">
        <f t="shared" si="33"/>
        <v>PE</v>
      </c>
      <c r="Q381" s="10">
        <f t="shared" si="34"/>
        <v>0</v>
      </c>
    </row>
    <row r="382" spans="1:17" x14ac:dyDescent="0.2">
      <c r="A382" s="4" t="s">
        <v>1033</v>
      </c>
      <c r="B382" s="17" t="str">
        <f t="shared" si="36"/>
        <v>143 Preferential tariff quota</v>
      </c>
      <c r="C382" s="17" t="str">
        <f t="shared" si="40"/>
        <v>FCFS</v>
      </c>
      <c r="D382" s="14">
        <v>43568</v>
      </c>
      <c r="E382" s="14">
        <v>43830</v>
      </c>
      <c r="F382" s="20">
        <f t="shared" si="41"/>
        <v>262</v>
      </c>
      <c r="G382" s="38">
        <v>393000</v>
      </c>
      <c r="H382" s="39" t="s">
        <v>27</v>
      </c>
      <c r="I382" s="40">
        <v>3</v>
      </c>
      <c r="J382" s="40" t="s">
        <v>192</v>
      </c>
      <c r="K382" s="40">
        <v>90</v>
      </c>
      <c r="L382" s="39"/>
      <c r="M382" s="39"/>
      <c r="N382" s="39"/>
      <c r="O382" s="39"/>
      <c r="P382" s="39" t="str">
        <f t="shared" si="33"/>
        <v>PE</v>
      </c>
      <c r="Q382" s="10">
        <f t="shared" si="34"/>
        <v>0</v>
      </c>
    </row>
    <row r="383" spans="1:17" x14ac:dyDescent="0.2">
      <c r="A383" s="4" t="s">
        <v>1034</v>
      </c>
      <c r="B383" s="17" t="str">
        <f t="shared" si="36"/>
        <v>143 Preferential tariff quota</v>
      </c>
      <c r="C383" s="17" t="str">
        <f t="shared" si="40"/>
        <v>FCFS</v>
      </c>
      <c r="D383" s="14">
        <v>43568</v>
      </c>
      <c r="E383" s="14">
        <v>43830</v>
      </c>
      <c r="F383" s="20">
        <f t="shared" si="41"/>
        <v>262</v>
      </c>
      <c r="G383" s="38">
        <v>233000</v>
      </c>
      <c r="H383" s="39" t="s">
        <v>27</v>
      </c>
      <c r="I383" s="40">
        <v>3</v>
      </c>
      <c r="J383" s="40" t="s">
        <v>192</v>
      </c>
      <c r="K383" s="40">
        <v>90</v>
      </c>
      <c r="L383" s="39"/>
      <c r="M383" s="39"/>
      <c r="N383" s="39"/>
      <c r="O383" s="39"/>
      <c r="P383" s="39" t="str">
        <f t="shared" si="33"/>
        <v>PE</v>
      </c>
      <c r="Q383" s="10">
        <f t="shared" si="34"/>
        <v>0</v>
      </c>
    </row>
    <row r="384" spans="1:17" x14ac:dyDescent="0.2">
      <c r="A384" s="4" t="s">
        <v>1035</v>
      </c>
      <c r="B384" s="17" t="str">
        <f t="shared" si="36"/>
        <v>143 Preferential tariff quota</v>
      </c>
      <c r="C384" s="17" t="str">
        <f t="shared" si="40"/>
        <v>FCFS</v>
      </c>
      <c r="D384" s="14">
        <v>43568</v>
      </c>
      <c r="E384" s="14">
        <v>43830</v>
      </c>
      <c r="F384" s="20">
        <f t="shared" si="41"/>
        <v>262</v>
      </c>
      <c r="G384" s="38">
        <v>24000</v>
      </c>
      <c r="H384" s="39" t="s">
        <v>27</v>
      </c>
      <c r="I384" s="40">
        <v>3</v>
      </c>
      <c r="J384" s="40" t="s">
        <v>192</v>
      </c>
      <c r="K384" s="40">
        <v>90</v>
      </c>
      <c r="L384" s="39"/>
      <c r="M384" s="39"/>
      <c r="N384" s="39"/>
      <c r="O384" s="39"/>
      <c r="P384" s="39" t="str">
        <f t="shared" si="33"/>
        <v>PE</v>
      </c>
      <c r="Q384" s="10">
        <f t="shared" si="34"/>
        <v>0</v>
      </c>
    </row>
    <row r="385" spans="1:17" x14ac:dyDescent="0.2">
      <c r="A385" s="4" t="s">
        <v>1036</v>
      </c>
      <c r="B385" s="17" t="str">
        <f t="shared" si="36"/>
        <v>143 Preferential tariff quota</v>
      </c>
      <c r="C385" s="17" t="str">
        <f t="shared" si="40"/>
        <v>FCFS</v>
      </c>
      <c r="D385" s="14">
        <v>43568</v>
      </c>
      <c r="E385" s="14">
        <v>43830</v>
      </c>
      <c r="F385" s="20">
        <f t="shared" si="41"/>
        <v>262</v>
      </c>
      <c r="G385" s="38">
        <v>1570000</v>
      </c>
      <c r="H385" s="39" t="s">
        <v>27</v>
      </c>
      <c r="I385" s="40">
        <v>3</v>
      </c>
      <c r="J385" s="40" t="s">
        <v>192</v>
      </c>
      <c r="K385" s="40">
        <v>90</v>
      </c>
      <c r="L385" s="39"/>
      <c r="M385" s="39"/>
      <c r="N385" s="39"/>
      <c r="O385" s="39"/>
      <c r="P385" s="39" t="str">
        <f t="shared" si="33"/>
        <v>PE</v>
      </c>
      <c r="Q385" s="10">
        <f t="shared" si="34"/>
        <v>0</v>
      </c>
    </row>
    <row r="386" spans="1:17" x14ac:dyDescent="0.2">
      <c r="A386" s="4" t="s">
        <v>1037</v>
      </c>
      <c r="B386" s="17" t="str">
        <f t="shared" si="36"/>
        <v>143 Preferential tariff quota</v>
      </c>
      <c r="C386" s="17" t="str">
        <f t="shared" si="40"/>
        <v>FCFS</v>
      </c>
      <c r="D386" s="14">
        <v>43568</v>
      </c>
      <c r="E386" s="14">
        <v>43830</v>
      </c>
      <c r="F386" s="20">
        <f t="shared" si="41"/>
        <v>262</v>
      </c>
      <c r="G386" s="38">
        <v>16000</v>
      </c>
      <c r="H386" s="39" t="s">
        <v>27</v>
      </c>
      <c r="I386" s="40">
        <v>3</v>
      </c>
      <c r="J386" s="40" t="s">
        <v>192</v>
      </c>
      <c r="K386" s="40">
        <v>90</v>
      </c>
      <c r="L386" s="39"/>
      <c r="M386" s="39"/>
      <c r="N386" s="39"/>
      <c r="O386" s="39"/>
      <c r="P386" s="39" t="str">
        <f t="shared" ref="P386:P438" si="42">VLOOKUP(A386, quota_order_numbers2, 6, FALSE)</f>
        <v>PE</v>
      </c>
      <c r="Q386" s="10">
        <f t="shared" ref="Q386:Q438" si="43">VLOOKUP(A386, quota_order_numbers2, 2, FALSE)</f>
        <v>0</v>
      </c>
    </row>
    <row r="387" spans="1:17" x14ac:dyDescent="0.2">
      <c r="A387" s="4" t="s">
        <v>1038</v>
      </c>
      <c r="B387" s="17" t="str">
        <f t="shared" si="36"/>
        <v>143 Preferential tariff quota</v>
      </c>
      <c r="C387" s="17" t="str">
        <f t="shared" si="40"/>
        <v>FCFS</v>
      </c>
      <c r="D387" s="14">
        <v>43568</v>
      </c>
      <c r="E387" s="14">
        <v>43830</v>
      </c>
      <c r="F387" s="20">
        <f t="shared" si="41"/>
        <v>262</v>
      </c>
      <c r="G387" s="38">
        <v>471000</v>
      </c>
      <c r="H387" s="39" t="s">
        <v>27</v>
      </c>
      <c r="I387" s="40">
        <v>3</v>
      </c>
      <c r="J387" s="40" t="s">
        <v>192</v>
      </c>
      <c r="K387" s="40">
        <v>90</v>
      </c>
      <c r="L387" s="39"/>
      <c r="M387" s="39"/>
      <c r="N387" s="39"/>
      <c r="O387" s="39"/>
      <c r="P387" s="39" t="str">
        <f t="shared" si="42"/>
        <v>PE</v>
      </c>
      <c r="Q387" s="10">
        <f t="shared" si="43"/>
        <v>0</v>
      </c>
    </row>
    <row r="388" spans="1:17" x14ac:dyDescent="0.2">
      <c r="A388" s="4" t="s">
        <v>1039</v>
      </c>
      <c r="B388" s="17" t="str">
        <f t="shared" si="36"/>
        <v>143 Preferential tariff quota</v>
      </c>
      <c r="C388" s="17" t="str">
        <f t="shared" si="40"/>
        <v>FCFS</v>
      </c>
      <c r="D388" s="14">
        <v>43568</v>
      </c>
      <c r="E388" s="14">
        <v>43830</v>
      </c>
      <c r="F388" s="20">
        <f t="shared" si="41"/>
        <v>262</v>
      </c>
      <c r="G388" s="38">
        <v>942000</v>
      </c>
      <c r="H388" s="39" t="s">
        <v>27</v>
      </c>
      <c r="I388" s="40">
        <v>3</v>
      </c>
      <c r="J388" s="40" t="s">
        <v>192</v>
      </c>
      <c r="K388" s="40">
        <v>90</v>
      </c>
      <c r="L388" s="39"/>
      <c r="M388" s="39"/>
      <c r="N388" s="39"/>
      <c r="O388" s="39"/>
      <c r="P388" s="39" t="str">
        <f t="shared" si="42"/>
        <v>PE</v>
      </c>
      <c r="Q388" s="10">
        <f t="shared" si="43"/>
        <v>0</v>
      </c>
    </row>
    <row r="389" spans="1:17" x14ac:dyDescent="0.2">
      <c r="A389" s="4" t="s">
        <v>1040</v>
      </c>
      <c r="B389" s="17" t="str">
        <f t="shared" si="36"/>
        <v>143 Preferential tariff quota</v>
      </c>
      <c r="C389" s="17" t="str">
        <f t="shared" si="40"/>
        <v>FCFS</v>
      </c>
      <c r="D389" s="14">
        <v>43568</v>
      </c>
      <c r="E389" s="14">
        <v>43830</v>
      </c>
      <c r="F389" s="20">
        <f t="shared" si="41"/>
        <v>262</v>
      </c>
      <c r="G389" s="38">
        <v>300000</v>
      </c>
      <c r="H389" s="39" t="s">
        <v>27</v>
      </c>
      <c r="I389" s="40">
        <v>3</v>
      </c>
      <c r="J389" s="40" t="s">
        <v>192</v>
      </c>
      <c r="K389" s="40">
        <v>90</v>
      </c>
      <c r="L389" s="39"/>
      <c r="M389" s="39"/>
      <c r="N389" s="39"/>
      <c r="O389" s="39"/>
      <c r="P389" s="39" t="str">
        <f t="shared" si="42"/>
        <v>PE</v>
      </c>
      <c r="Q389" s="10">
        <f t="shared" si="43"/>
        <v>0</v>
      </c>
    </row>
    <row r="390" spans="1:17" x14ac:dyDescent="0.2">
      <c r="A390" s="4" t="s">
        <v>1041</v>
      </c>
      <c r="B390" s="17" t="str">
        <f t="shared" si="36"/>
        <v>143 Preferential tariff quota</v>
      </c>
      <c r="C390" s="17" t="str">
        <f t="shared" si="40"/>
        <v>FCFS</v>
      </c>
      <c r="D390" s="14">
        <v>43568</v>
      </c>
      <c r="E390" s="14">
        <v>43830</v>
      </c>
      <c r="F390" s="20">
        <f t="shared" si="41"/>
        <v>262</v>
      </c>
      <c r="G390" s="38">
        <v>1177000</v>
      </c>
      <c r="H390" s="39" t="s">
        <v>27</v>
      </c>
      <c r="I390" s="40">
        <v>3</v>
      </c>
      <c r="J390" s="40" t="s">
        <v>192</v>
      </c>
      <c r="K390" s="40">
        <v>90</v>
      </c>
      <c r="L390" s="39"/>
      <c r="M390" s="39"/>
      <c r="N390" s="39"/>
      <c r="O390" s="39"/>
      <c r="P390" s="39" t="str">
        <f t="shared" si="42"/>
        <v>PE</v>
      </c>
      <c r="Q390" s="10">
        <f t="shared" si="43"/>
        <v>0</v>
      </c>
    </row>
    <row r="391" spans="1:17" x14ac:dyDescent="0.2">
      <c r="A391" s="4" t="s">
        <v>1042</v>
      </c>
      <c r="B391" s="17" t="str">
        <f t="shared" si="36"/>
        <v>143 Preferential tariff quota</v>
      </c>
      <c r="C391" s="17" t="str">
        <f t="shared" si="40"/>
        <v>FCFS</v>
      </c>
      <c r="D391" s="14">
        <v>43568</v>
      </c>
      <c r="E391" s="14">
        <v>43830</v>
      </c>
      <c r="F391" s="20">
        <f t="shared" si="41"/>
        <v>262</v>
      </c>
      <c r="G391" s="38">
        <v>5339000</v>
      </c>
      <c r="H391" s="39" t="s">
        <v>27</v>
      </c>
      <c r="I391" s="40">
        <v>3</v>
      </c>
      <c r="J391" s="40" t="s">
        <v>192</v>
      </c>
      <c r="K391" s="40">
        <v>90</v>
      </c>
      <c r="L391" s="39"/>
      <c r="M391" s="39"/>
      <c r="N391" s="39"/>
      <c r="O391" s="39"/>
      <c r="P391" s="39" t="str">
        <f t="shared" si="42"/>
        <v>PE</v>
      </c>
      <c r="Q391" s="10">
        <f t="shared" si="43"/>
        <v>0</v>
      </c>
    </row>
    <row r="392" spans="1:17" x14ac:dyDescent="0.2">
      <c r="A392" s="4" t="s">
        <v>1043</v>
      </c>
      <c r="B392" s="17" t="str">
        <f t="shared" si="36"/>
        <v>143 Preferential tariff quota</v>
      </c>
      <c r="C392" s="17" t="str">
        <f t="shared" si="40"/>
        <v>FCFS</v>
      </c>
      <c r="D392" s="14">
        <v>43568</v>
      </c>
      <c r="E392" s="14">
        <v>43830</v>
      </c>
      <c r="F392" s="20">
        <f t="shared" si="41"/>
        <v>262</v>
      </c>
      <c r="G392" s="38">
        <v>15700</v>
      </c>
      <c r="H392" s="39" t="s">
        <v>39</v>
      </c>
      <c r="I392" s="40">
        <v>3</v>
      </c>
      <c r="J392" s="40" t="s">
        <v>192</v>
      </c>
      <c r="K392" s="40">
        <v>90</v>
      </c>
      <c r="L392" s="39"/>
      <c r="M392" s="39"/>
      <c r="N392" s="39"/>
      <c r="O392" s="39"/>
      <c r="P392" s="39" t="str">
        <f t="shared" si="42"/>
        <v>PE</v>
      </c>
      <c r="Q392" s="10">
        <f t="shared" si="43"/>
        <v>0</v>
      </c>
    </row>
    <row r="393" spans="1:17" x14ac:dyDescent="0.2">
      <c r="A393" s="4" t="s">
        <v>1044</v>
      </c>
      <c r="B393" s="17" t="str">
        <f t="shared" si="36"/>
        <v>143 Preferential tariff quota</v>
      </c>
      <c r="C393" s="17" t="str">
        <f t="shared" si="40"/>
        <v>FCFS</v>
      </c>
      <c r="D393" s="14">
        <v>43568</v>
      </c>
      <c r="E393" s="14">
        <v>43830</v>
      </c>
      <c r="F393" s="20">
        <f t="shared" si="41"/>
        <v>262</v>
      </c>
      <c r="G393" s="38">
        <v>110000</v>
      </c>
      <c r="H393" s="39" t="s">
        <v>27</v>
      </c>
      <c r="I393" s="40">
        <v>3</v>
      </c>
      <c r="J393" s="40" t="s">
        <v>192</v>
      </c>
      <c r="K393" s="40">
        <v>90</v>
      </c>
      <c r="L393" s="39"/>
      <c r="M393" s="39"/>
      <c r="N393" s="39"/>
      <c r="O393" s="39"/>
      <c r="P393" s="39" t="str">
        <f t="shared" si="42"/>
        <v>PE</v>
      </c>
      <c r="Q393" s="10">
        <f t="shared" si="43"/>
        <v>0</v>
      </c>
    </row>
    <row r="394" spans="1:17" x14ac:dyDescent="0.2">
      <c r="A394" s="4" t="s">
        <v>1045</v>
      </c>
      <c r="B394" s="17" t="str">
        <f t="shared" si="36"/>
        <v>143 Preferential tariff quota</v>
      </c>
      <c r="C394" s="17" t="str">
        <f t="shared" si="40"/>
        <v>FCFS</v>
      </c>
      <c r="D394" s="14">
        <v>43568</v>
      </c>
      <c r="E394" s="14">
        <v>43830</v>
      </c>
      <c r="F394" s="20">
        <f t="shared" si="41"/>
        <v>262</v>
      </c>
      <c r="G394" s="38">
        <v>5000</v>
      </c>
      <c r="H394" s="39" t="s">
        <v>27</v>
      </c>
      <c r="I394" s="40">
        <v>3</v>
      </c>
      <c r="J394" s="40" t="s">
        <v>192</v>
      </c>
      <c r="K394" s="40">
        <v>90</v>
      </c>
      <c r="L394" s="39"/>
      <c r="M394" s="39"/>
      <c r="N394" s="39"/>
      <c r="O394" s="39"/>
      <c r="P394" s="39" t="str">
        <f t="shared" si="42"/>
        <v>PE</v>
      </c>
      <c r="Q394" s="10">
        <f t="shared" si="43"/>
        <v>0</v>
      </c>
    </row>
    <row r="395" spans="1:17" x14ac:dyDescent="0.2">
      <c r="A395" s="4" t="s">
        <v>1046</v>
      </c>
      <c r="B395" s="17" t="str">
        <f t="shared" si="36"/>
        <v>143 Preferential tariff quota</v>
      </c>
      <c r="C395" s="17" t="str">
        <f t="shared" si="40"/>
        <v>FCFS</v>
      </c>
      <c r="D395" s="14">
        <v>43568</v>
      </c>
      <c r="E395" s="14">
        <v>43830</v>
      </c>
      <c r="F395" s="20">
        <f t="shared" si="41"/>
        <v>262</v>
      </c>
      <c r="G395" s="38">
        <v>3116000</v>
      </c>
      <c r="H395" s="39" t="s">
        <v>27</v>
      </c>
      <c r="I395" s="40">
        <v>3</v>
      </c>
      <c r="J395" s="40" t="s">
        <v>192</v>
      </c>
      <c r="K395" s="40">
        <v>90</v>
      </c>
      <c r="L395" s="39"/>
      <c r="M395" s="39"/>
      <c r="N395" s="39"/>
      <c r="O395" s="39"/>
      <c r="P395" s="39" t="str">
        <f t="shared" si="42"/>
        <v>PE</v>
      </c>
      <c r="Q395" s="10">
        <f t="shared" si="43"/>
        <v>0</v>
      </c>
    </row>
    <row r="396" spans="1:17" x14ac:dyDescent="0.2">
      <c r="A396" s="4" t="s">
        <v>1047</v>
      </c>
      <c r="B396" s="17" t="str">
        <f t="shared" si="36"/>
        <v>143 Preferential tariff quota</v>
      </c>
      <c r="C396" s="17" t="str">
        <f t="shared" si="40"/>
        <v>FCFS</v>
      </c>
      <c r="D396" s="14">
        <v>43568</v>
      </c>
      <c r="E396" s="14">
        <v>43830</v>
      </c>
      <c r="F396" s="20">
        <f t="shared" si="41"/>
        <v>262</v>
      </c>
      <c r="G396" s="38">
        <v>1417000</v>
      </c>
      <c r="H396" s="39" t="s">
        <v>27</v>
      </c>
      <c r="I396" s="40">
        <v>3</v>
      </c>
      <c r="J396" s="40" t="s">
        <v>192</v>
      </c>
      <c r="K396" s="40">
        <v>90</v>
      </c>
      <c r="L396" s="39"/>
      <c r="M396" s="39"/>
      <c r="N396" s="39"/>
      <c r="O396" s="39"/>
      <c r="P396" s="39" t="str">
        <f t="shared" si="42"/>
        <v>PE</v>
      </c>
      <c r="Q396" s="10">
        <f t="shared" si="43"/>
        <v>0</v>
      </c>
    </row>
    <row r="397" spans="1:17" x14ac:dyDescent="0.2">
      <c r="A397" s="22" t="s">
        <v>1006</v>
      </c>
      <c r="B397" s="17" t="str">
        <f t="shared" si="36"/>
        <v>143 Preferential tariff quota</v>
      </c>
      <c r="C397" s="17" t="str">
        <f t="shared" si="40"/>
        <v>FCFS</v>
      </c>
      <c r="D397" s="14">
        <v>43891</v>
      </c>
      <c r="E397" s="14">
        <v>44255</v>
      </c>
      <c r="F397" s="20">
        <f t="shared" si="41"/>
        <v>364</v>
      </c>
      <c r="G397" s="38">
        <v>2043000</v>
      </c>
      <c r="H397" s="39" t="s">
        <v>27</v>
      </c>
      <c r="I397" s="40">
        <v>3</v>
      </c>
      <c r="J397" s="40" t="s">
        <v>192</v>
      </c>
      <c r="K397" s="40">
        <v>90</v>
      </c>
      <c r="L397" s="39"/>
      <c r="M397" s="39"/>
      <c r="N397" s="39"/>
      <c r="O397" s="39"/>
      <c r="P397" s="39" t="str">
        <f t="shared" si="42"/>
        <v>PE</v>
      </c>
      <c r="Q397" s="10">
        <f t="shared" si="43"/>
        <v>0</v>
      </c>
    </row>
    <row r="398" spans="1:17" x14ac:dyDescent="0.2">
      <c r="A398" s="4" t="s">
        <v>1007</v>
      </c>
      <c r="B398" s="17" t="str">
        <f t="shared" si="36"/>
        <v>143 Preferential tariff quota</v>
      </c>
      <c r="C398" s="17" t="str">
        <f t="shared" ref="C398:C438" si="44">IF(LEFT(A398,3)="094","Licensed","FCFS")</f>
        <v>FCFS</v>
      </c>
      <c r="D398" s="14">
        <v>43891</v>
      </c>
      <c r="E398" s="14">
        <v>44255</v>
      </c>
      <c r="F398" s="20">
        <f t="shared" ref="F398:F438" si="45">DATEDIF(D398, E398, "d")</f>
        <v>364</v>
      </c>
      <c r="G398" s="38">
        <v>108000</v>
      </c>
      <c r="H398" s="39" t="s">
        <v>27</v>
      </c>
      <c r="I398" s="40">
        <v>3</v>
      </c>
      <c r="J398" s="40" t="s">
        <v>192</v>
      </c>
      <c r="K398" s="40">
        <v>90</v>
      </c>
      <c r="L398" s="39"/>
      <c r="M398" s="39"/>
      <c r="N398" s="39"/>
      <c r="O398" s="39"/>
      <c r="P398" s="39" t="str">
        <f t="shared" si="42"/>
        <v>PE</v>
      </c>
      <c r="Q398" s="10">
        <f t="shared" si="43"/>
        <v>0</v>
      </c>
    </row>
    <row r="399" spans="1:17" x14ac:dyDescent="0.2">
      <c r="A399" s="4" t="s">
        <v>1008</v>
      </c>
      <c r="B399" s="17" t="str">
        <f t="shared" si="36"/>
        <v>143 Preferential tariff quota</v>
      </c>
      <c r="C399" s="17" t="str">
        <f t="shared" si="44"/>
        <v>FCFS</v>
      </c>
      <c r="D399" s="14">
        <v>43891</v>
      </c>
      <c r="E399" s="14">
        <v>44255</v>
      </c>
      <c r="F399" s="20">
        <f t="shared" si="45"/>
        <v>364</v>
      </c>
      <c r="G399" s="38">
        <v>27000</v>
      </c>
      <c r="H399" s="39" t="s">
        <v>27</v>
      </c>
      <c r="I399" s="40">
        <v>3</v>
      </c>
      <c r="J399" s="40" t="s">
        <v>192</v>
      </c>
      <c r="K399" s="40">
        <v>90</v>
      </c>
      <c r="L399" s="39"/>
      <c r="M399" s="39"/>
      <c r="N399" s="39"/>
      <c r="O399" s="39"/>
      <c r="P399" s="39" t="str">
        <f t="shared" si="42"/>
        <v>PE</v>
      </c>
      <c r="Q399" s="10">
        <f t="shared" si="43"/>
        <v>0</v>
      </c>
    </row>
    <row r="400" spans="1:17" x14ac:dyDescent="0.2">
      <c r="A400" s="4" t="s">
        <v>1009</v>
      </c>
      <c r="B400" s="17" t="str">
        <f t="shared" ref="B400:B438" si="46">VLOOKUP(A400, quota_order_numbers2, 5, FALSE)</f>
        <v>143 Preferential tariff quota</v>
      </c>
      <c r="C400" s="17" t="str">
        <f t="shared" si="44"/>
        <v>FCFS</v>
      </c>
      <c r="D400" s="14">
        <v>43891</v>
      </c>
      <c r="E400" s="14">
        <v>44255</v>
      </c>
      <c r="F400" s="20">
        <f t="shared" si="45"/>
        <v>364</v>
      </c>
      <c r="G400" s="38">
        <v>3000</v>
      </c>
      <c r="H400" s="39" t="s">
        <v>27</v>
      </c>
      <c r="I400" s="40">
        <v>3</v>
      </c>
      <c r="J400" s="40" t="s">
        <v>192</v>
      </c>
      <c r="K400" s="40">
        <v>90</v>
      </c>
      <c r="L400" s="39"/>
      <c r="M400" s="39"/>
      <c r="N400" s="39"/>
      <c r="O400" s="39"/>
      <c r="P400" s="39" t="str">
        <f t="shared" si="42"/>
        <v>PE</v>
      </c>
      <c r="Q400" s="10">
        <f t="shared" si="43"/>
        <v>0</v>
      </c>
    </row>
    <row r="401" spans="1:17" x14ac:dyDescent="0.2">
      <c r="A401" s="4" t="s">
        <v>1010</v>
      </c>
      <c r="B401" s="17" t="str">
        <f t="shared" si="46"/>
        <v>143 Preferential tariff quota</v>
      </c>
      <c r="C401" s="17" t="str">
        <f t="shared" si="44"/>
        <v>FCFS</v>
      </c>
      <c r="D401" s="14">
        <v>43891</v>
      </c>
      <c r="E401" s="14">
        <v>44255</v>
      </c>
      <c r="F401" s="20">
        <f t="shared" si="45"/>
        <v>364</v>
      </c>
      <c r="G401" s="38">
        <v>14000</v>
      </c>
      <c r="H401" s="39" t="s">
        <v>27</v>
      </c>
      <c r="I401" s="40">
        <v>3</v>
      </c>
      <c r="J401" s="40" t="s">
        <v>192</v>
      </c>
      <c r="K401" s="40">
        <v>90</v>
      </c>
      <c r="L401" s="39"/>
      <c r="M401" s="39"/>
      <c r="N401" s="39"/>
      <c r="O401" s="39"/>
      <c r="P401" s="39" t="str">
        <f t="shared" si="42"/>
        <v>PE</v>
      </c>
      <c r="Q401" s="10">
        <f t="shared" si="43"/>
        <v>0</v>
      </c>
    </row>
    <row r="402" spans="1:17" x14ac:dyDescent="0.2">
      <c r="A402" s="4" t="s">
        <v>1011</v>
      </c>
      <c r="B402" s="17" t="str">
        <f t="shared" si="46"/>
        <v>143 Preferential tariff quota</v>
      </c>
      <c r="C402" s="17" t="str">
        <f t="shared" si="44"/>
        <v>FCFS</v>
      </c>
      <c r="D402" s="14">
        <v>43891</v>
      </c>
      <c r="E402" s="14">
        <v>44255</v>
      </c>
      <c r="F402" s="20">
        <f t="shared" si="45"/>
        <v>364</v>
      </c>
      <c r="G402" s="38">
        <v>3000</v>
      </c>
      <c r="H402" s="39" t="s">
        <v>27</v>
      </c>
      <c r="I402" s="40">
        <v>3</v>
      </c>
      <c r="J402" s="40" t="s">
        <v>192</v>
      </c>
      <c r="K402" s="40">
        <v>90</v>
      </c>
      <c r="L402" s="39"/>
      <c r="M402" s="39"/>
      <c r="N402" s="39"/>
      <c r="O402" s="39"/>
      <c r="P402" s="39" t="str">
        <f t="shared" si="42"/>
        <v>PE</v>
      </c>
      <c r="Q402" s="10">
        <f t="shared" si="43"/>
        <v>0</v>
      </c>
    </row>
    <row r="403" spans="1:17" x14ac:dyDescent="0.2">
      <c r="A403" s="4" t="s">
        <v>1012</v>
      </c>
      <c r="B403" s="17" t="str">
        <f t="shared" si="46"/>
        <v>143 Preferential tariff quota</v>
      </c>
      <c r="C403" s="17" t="str">
        <f t="shared" si="44"/>
        <v>FCFS</v>
      </c>
      <c r="D403" s="14">
        <v>43891</v>
      </c>
      <c r="E403" s="14">
        <v>44255</v>
      </c>
      <c r="F403" s="20">
        <f t="shared" si="45"/>
        <v>364</v>
      </c>
      <c r="G403" s="38">
        <v>5000</v>
      </c>
      <c r="H403" s="39" t="s">
        <v>27</v>
      </c>
      <c r="I403" s="40">
        <v>3</v>
      </c>
      <c r="J403" s="40" t="s">
        <v>192</v>
      </c>
      <c r="K403" s="40">
        <v>90</v>
      </c>
      <c r="L403" s="39"/>
      <c r="M403" s="39"/>
      <c r="N403" s="39"/>
      <c r="O403" s="39"/>
      <c r="P403" s="39" t="str">
        <f t="shared" si="42"/>
        <v>PE</v>
      </c>
      <c r="Q403" s="10">
        <f t="shared" si="43"/>
        <v>0</v>
      </c>
    </row>
    <row r="404" spans="1:17" x14ac:dyDescent="0.2">
      <c r="A404" s="4" t="s">
        <v>1013</v>
      </c>
      <c r="B404" s="17" t="str">
        <f t="shared" si="46"/>
        <v>143 Preferential tariff quota</v>
      </c>
      <c r="C404" s="17" t="str">
        <f t="shared" si="44"/>
        <v>FCFS</v>
      </c>
      <c r="D404" s="14">
        <v>43891</v>
      </c>
      <c r="E404" s="14">
        <v>44255</v>
      </c>
      <c r="F404" s="20">
        <f t="shared" si="45"/>
        <v>364</v>
      </c>
      <c r="G404" s="38">
        <v>2000</v>
      </c>
      <c r="H404" s="39" t="s">
        <v>27</v>
      </c>
      <c r="I404" s="40">
        <v>3</v>
      </c>
      <c r="J404" s="40" t="s">
        <v>192</v>
      </c>
      <c r="K404" s="40">
        <v>90</v>
      </c>
      <c r="L404" s="39"/>
      <c r="M404" s="39"/>
      <c r="N404" s="39"/>
      <c r="O404" s="39"/>
      <c r="P404" s="39" t="str">
        <f t="shared" si="42"/>
        <v>PE</v>
      </c>
      <c r="Q404" s="10">
        <f t="shared" si="43"/>
        <v>0</v>
      </c>
    </row>
    <row r="405" spans="1:17" x14ac:dyDescent="0.2">
      <c r="A405" s="4" t="s">
        <v>1014</v>
      </c>
      <c r="B405" s="17" t="str">
        <f t="shared" si="46"/>
        <v>143 Preferential tariff quota</v>
      </c>
      <c r="C405" s="17" t="str">
        <f t="shared" si="44"/>
        <v>FCFS</v>
      </c>
      <c r="D405" s="14">
        <v>43891</v>
      </c>
      <c r="E405" s="14">
        <v>44255</v>
      </c>
      <c r="F405" s="20">
        <f t="shared" si="45"/>
        <v>364</v>
      </c>
      <c r="G405" s="38">
        <v>3000</v>
      </c>
      <c r="H405" s="39" t="s">
        <v>27</v>
      </c>
      <c r="I405" s="40">
        <v>3</v>
      </c>
      <c r="J405" s="40" t="s">
        <v>192</v>
      </c>
      <c r="K405" s="40">
        <v>90</v>
      </c>
      <c r="L405" s="39"/>
      <c r="M405" s="39"/>
      <c r="N405" s="39"/>
      <c r="O405" s="39"/>
      <c r="P405" s="39" t="str">
        <f t="shared" si="42"/>
        <v>PE</v>
      </c>
      <c r="Q405" s="10">
        <f t="shared" si="43"/>
        <v>0</v>
      </c>
    </row>
    <row r="406" spans="1:17" x14ac:dyDescent="0.2">
      <c r="A406" s="4" t="s">
        <v>1015</v>
      </c>
      <c r="B406" s="17" t="str">
        <f t="shared" si="46"/>
        <v>143 Preferential tariff quota</v>
      </c>
      <c r="C406" s="17" t="str">
        <f t="shared" si="44"/>
        <v>FCFS</v>
      </c>
      <c r="D406" s="14">
        <v>43891</v>
      </c>
      <c r="E406" s="14">
        <v>44255</v>
      </c>
      <c r="F406" s="20">
        <f t="shared" si="45"/>
        <v>364</v>
      </c>
      <c r="G406" s="38">
        <v>24000</v>
      </c>
      <c r="H406" s="39" t="s">
        <v>27</v>
      </c>
      <c r="I406" s="40">
        <v>3</v>
      </c>
      <c r="J406" s="40" t="s">
        <v>192</v>
      </c>
      <c r="K406" s="40">
        <v>90</v>
      </c>
      <c r="L406" s="39"/>
      <c r="M406" s="39"/>
      <c r="N406" s="39"/>
      <c r="O406" s="39"/>
      <c r="P406" s="39" t="str">
        <f t="shared" si="42"/>
        <v>PE</v>
      </c>
      <c r="Q406" s="10">
        <f t="shared" si="43"/>
        <v>0</v>
      </c>
    </row>
    <row r="407" spans="1:17" x14ac:dyDescent="0.2">
      <c r="A407" s="4" t="s">
        <v>1016</v>
      </c>
      <c r="B407" s="17" t="str">
        <f t="shared" si="46"/>
        <v>143 Preferential tariff quota</v>
      </c>
      <c r="C407" s="17" t="str">
        <f t="shared" si="44"/>
        <v>FCFS</v>
      </c>
      <c r="D407" s="14">
        <v>43891</v>
      </c>
      <c r="E407" s="14">
        <v>44255</v>
      </c>
      <c r="F407" s="20">
        <f t="shared" si="45"/>
        <v>364</v>
      </c>
      <c r="G407" s="38">
        <v>2723.9999999999995</v>
      </c>
      <c r="H407" s="39" t="s">
        <v>47</v>
      </c>
      <c r="I407" s="40">
        <v>3</v>
      </c>
      <c r="J407" s="40" t="s">
        <v>192</v>
      </c>
      <c r="K407" s="40">
        <v>90</v>
      </c>
      <c r="L407" s="39"/>
      <c r="M407" s="39"/>
      <c r="N407" s="39"/>
      <c r="O407" s="39"/>
      <c r="P407" s="39" t="str">
        <f t="shared" si="42"/>
        <v>PE</v>
      </c>
      <c r="Q407" s="10">
        <f t="shared" si="43"/>
        <v>0</v>
      </c>
    </row>
    <row r="408" spans="1:17" x14ac:dyDescent="0.2">
      <c r="A408" s="4" t="s">
        <v>1017</v>
      </c>
      <c r="B408" s="17" t="str">
        <f t="shared" si="46"/>
        <v>143 Preferential tariff quota</v>
      </c>
      <c r="C408" s="17" t="str">
        <f t="shared" si="44"/>
        <v>FCFS</v>
      </c>
      <c r="D408" s="14">
        <v>43891</v>
      </c>
      <c r="E408" s="14">
        <v>44255</v>
      </c>
      <c r="F408" s="20">
        <f t="shared" si="45"/>
        <v>364</v>
      </c>
      <c r="G408" s="38">
        <v>6810000</v>
      </c>
      <c r="H408" s="39" t="s">
        <v>27</v>
      </c>
      <c r="I408" s="40">
        <v>3</v>
      </c>
      <c r="J408" s="40" t="s">
        <v>192</v>
      </c>
      <c r="K408" s="40">
        <v>90</v>
      </c>
      <c r="L408" s="39"/>
      <c r="M408" s="39"/>
      <c r="N408" s="39"/>
      <c r="O408" s="39"/>
      <c r="P408" s="39" t="str">
        <f t="shared" si="42"/>
        <v>PE</v>
      </c>
      <c r="Q408" s="10">
        <f t="shared" si="43"/>
        <v>0</v>
      </c>
    </row>
    <row r="409" spans="1:17" x14ac:dyDescent="0.2">
      <c r="A409" s="4" t="s">
        <v>1018</v>
      </c>
      <c r="B409" s="17" t="str">
        <f t="shared" si="46"/>
        <v>143 Preferential tariff quota</v>
      </c>
      <c r="C409" s="17" t="str">
        <f t="shared" si="44"/>
        <v>FCFS</v>
      </c>
      <c r="D409" s="14">
        <v>43891</v>
      </c>
      <c r="E409" s="14">
        <v>44255</v>
      </c>
      <c r="F409" s="20">
        <f t="shared" si="45"/>
        <v>364</v>
      </c>
      <c r="G409" s="38">
        <v>6810000</v>
      </c>
      <c r="H409" s="39" t="s">
        <v>27</v>
      </c>
      <c r="I409" s="40">
        <v>3</v>
      </c>
      <c r="J409" s="40" t="s">
        <v>192</v>
      </c>
      <c r="K409" s="40">
        <v>90</v>
      </c>
      <c r="L409" s="39"/>
      <c r="M409" s="39"/>
      <c r="N409" s="39"/>
      <c r="O409" s="39"/>
      <c r="P409" s="39" t="str">
        <f t="shared" si="42"/>
        <v>PE</v>
      </c>
      <c r="Q409" s="10">
        <f t="shared" si="43"/>
        <v>0</v>
      </c>
    </row>
    <row r="410" spans="1:17" x14ac:dyDescent="0.2">
      <c r="A410" s="4" t="s">
        <v>1019</v>
      </c>
      <c r="B410" s="17" t="str">
        <f t="shared" si="46"/>
        <v>143 Preferential tariff quota</v>
      </c>
      <c r="C410" s="17" t="str">
        <f t="shared" si="44"/>
        <v>FCFS</v>
      </c>
      <c r="D410" s="14">
        <v>43891</v>
      </c>
      <c r="E410" s="14">
        <v>44255</v>
      </c>
      <c r="F410" s="20">
        <f t="shared" si="45"/>
        <v>364</v>
      </c>
      <c r="G410" s="38">
        <v>666000</v>
      </c>
      <c r="H410" s="39" t="s">
        <v>27</v>
      </c>
      <c r="I410" s="40">
        <v>3</v>
      </c>
      <c r="J410" s="40" t="s">
        <v>192</v>
      </c>
      <c r="K410" s="40">
        <v>90</v>
      </c>
      <c r="L410" s="39"/>
      <c r="M410" s="39"/>
      <c r="N410" s="39"/>
      <c r="O410" s="39"/>
      <c r="P410" s="39" t="str">
        <f t="shared" si="42"/>
        <v>PE</v>
      </c>
      <c r="Q410" s="10">
        <f t="shared" si="43"/>
        <v>0</v>
      </c>
    </row>
    <row r="411" spans="1:17" x14ac:dyDescent="0.2">
      <c r="A411" s="4" t="s">
        <v>1020</v>
      </c>
      <c r="B411" s="17" t="str">
        <f t="shared" si="46"/>
        <v>143 Preferential tariff quota</v>
      </c>
      <c r="C411" s="17" t="str">
        <f t="shared" si="44"/>
        <v>FCFS</v>
      </c>
      <c r="D411" s="14">
        <v>43891</v>
      </c>
      <c r="E411" s="14">
        <v>44255</v>
      </c>
      <c r="F411" s="20">
        <f t="shared" si="45"/>
        <v>364</v>
      </c>
      <c r="G411" s="38">
        <v>20000</v>
      </c>
      <c r="H411" s="39" t="s">
        <v>27</v>
      </c>
      <c r="I411" s="40">
        <v>3</v>
      </c>
      <c r="J411" s="40" t="s">
        <v>192</v>
      </c>
      <c r="K411" s="40">
        <v>90</v>
      </c>
      <c r="L411" s="39"/>
      <c r="M411" s="39"/>
      <c r="N411" s="39"/>
      <c r="O411" s="39"/>
      <c r="P411" s="39" t="str">
        <f t="shared" si="42"/>
        <v>PE</v>
      </c>
      <c r="Q411" s="10">
        <f t="shared" si="43"/>
        <v>0</v>
      </c>
    </row>
    <row r="412" spans="1:17" x14ac:dyDescent="0.2">
      <c r="A412" s="4" t="s">
        <v>1021</v>
      </c>
      <c r="B412" s="17" t="str">
        <f t="shared" si="46"/>
        <v>143 Preferential tariff quota</v>
      </c>
      <c r="C412" s="17" t="str">
        <f t="shared" si="44"/>
        <v>FCFS</v>
      </c>
      <c r="D412" s="14">
        <v>43891</v>
      </c>
      <c r="E412" s="14">
        <v>44255</v>
      </c>
      <c r="F412" s="20">
        <f t="shared" si="45"/>
        <v>364</v>
      </c>
      <c r="G412" s="38">
        <v>10000</v>
      </c>
      <c r="H412" s="39" t="s">
        <v>27</v>
      </c>
      <c r="I412" s="40">
        <v>3</v>
      </c>
      <c r="J412" s="40" t="s">
        <v>192</v>
      </c>
      <c r="K412" s="40">
        <v>90</v>
      </c>
      <c r="L412" s="39"/>
      <c r="M412" s="39"/>
      <c r="N412" s="39"/>
      <c r="O412" s="39"/>
      <c r="P412" s="39" t="str">
        <f t="shared" si="42"/>
        <v>PE</v>
      </c>
      <c r="Q412" s="10">
        <f t="shared" si="43"/>
        <v>0</v>
      </c>
    </row>
    <row r="413" spans="1:17" x14ac:dyDescent="0.2">
      <c r="A413" s="4" t="s">
        <v>1022</v>
      </c>
      <c r="B413" s="17" t="str">
        <f t="shared" si="46"/>
        <v>143 Preferential tariff quota</v>
      </c>
      <c r="C413" s="17" t="str">
        <f t="shared" si="44"/>
        <v>FCFS</v>
      </c>
      <c r="D413" s="14">
        <v>43891</v>
      </c>
      <c r="E413" s="14">
        <v>44255</v>
      </c>
      <c r="F413" s="20">
        <f t="shared" si="45"/>
        <v>364</v>
      </c>
      <c r="G413" s="38">
        <v>700000</v>
      </c>
      <c r="H413" s="39" t="s">
        <v>27</v>
      </c>
      <c r="I413" s="40">
        <v>3</v>
      </c>
      <c r="J413" s="40" t="s">
        <v>192</v>
      </c>
      <c r="K413" s="40">
        <v>90</v>
      </c>
      <c r="L413" s="39"/>
      <c r="M413" s="39"/>
      <c r="N413" s="39"/>
      <c r="O413" s="39"/>
      <c r="P413" s="39" t="str">
        <f t="shared" si="42"/>
        <v>PE</v>
      </c>
      <c r="Q413" s="10">
        <f t="shared" si="43"/>
        <v>0</v>
      </c>
    </row>
    <row r="414" spans="1:17" x14ac:dyDescent="0.2">
      <c r="A414" s="4" t="s">
        <v>1023</v>
      </c>
      <c r="B414" s="17" t="str">
        <f t="shared" si="46"/>
        <v>143 Preferential tariff quota</v>
      </c>
      <c r="C414" s="17" t="str">
        <f t="shared" si="44"/>
        <v>FCFS</v>
      </c>
      <c r="D414" s="14">
        <v>43891</v>
      </c>
      <c r="E414" s="14">
        <v>44255</v>
      </c>
      <c r="F414" s="20">
        <f t="shared" si="45"/>
        <v>364</v>
      </c>
      <c r="G414" s="38">
        <v>417000</v>
      </c>
      <c r="H414" s="39" t="s">
        <v>27</v>
      </c>
      <c r="I414" s="40">
        <v>3</v>
      </c>
      <c r="J414" s="40" t="s">
        <v>192</v>
      </c>
      <c r="K414" s="40">
        <v>90</v>
      </c>
      <c r="L414" s="39"/>
      <c r="M414" s="39"/>
      <c r="N414" s="39"/>
      <c r="O414" s="39"/>
      <c r="P414" s="39" t="str">
        <f t="shared" si="42"/>
        <v>PE</v>
      </c>
      <c r="Q414" s="10">
        <f t="shared" si="43"/>
        <v>0</v>
      </c>
    </row>
    <row r="415" spans="1:17" x14ac:dyDescent="0.2">
      <c r="A415" s="4" t="s">
        <v>1024</v>
      </c>
      <c r="B415" s="17" t="str">
        <f t="shared" si="46"/>
        <v>143 Preferential tariff quota</v>
      </c>
      <c r="C415" s="17" t="str">
        <f t="shared" si="44"/>
        <v>FCFS</v>
      </c>
      <c r="D415" s="14">
        <v>43891</v>
      </c>
      <c r="E415" s="14">
        <v>44255</v>
      </c>
      <c r="F415" s="20">
        <f t="shared" si="45"/>
        <v>364</v>
      </c>
      <c r="G415" s="38">
        <v>333000</v>
      </c>
      <c r="H415" s="39" t="s">
        <v>27</v>
      </c>
      <c r="I415" s="40">
        <v>3</v>
      </c>
      <c r="J415" s="40" t="s">
        <v>192</v>
      </c>
      <c r="K415" s="40">
        <v>90</v>
      </c>
      <c r="L415" s="39"/>
      <c r="M415" s="39"/>
      <c r="N415" s="39"/>
      <c r="O415" s="39"/>
      <c r="P415" s="39" t="str">
        <f t="shared" si="42"/>
        <v>PE</v>
      </c>
      <c r="Q415" s="10">
        <f t="shared" si="43"/>
        <v>0</v>
      </c>
    </row>
    <row r="416" spans="1:17" x14ac:dyDescent="0.2">
      <c r="A416" s="4" t="s">
        <v>1025</v>
      </c>
      <c r="B416" s="17" t="str">
        <f t="shared" si="46"/>
        <v>143 Preferential tariff quota</v>
      </c>
      <c r="C416" s="17" t="str">
        <f t="shared" si="44"/>
        <v>FCFS</v>
      </c>
      <c r="D416" s="14">
        <v>43891</v>
      </c>
      <c r="E416" s="14">
        <v>44255</v>
      </c>
      <c r="F416" s="20">
        <f t="shared" si="45"/>
        <v>364</v>
      </c>
      <c r="G416" s="38">
        <v>133000</v>
      </c>
      <c r="H416" s="39" t="s">
        <v>27</v>
      </c>
      <c r="I416" s="40">
        <v>3</v>
      </c>
      <c r="J416" s="40" t="s">
        <v>192</v>
      </c>
      <c r="K416" s="40">
        <v>90</v>
      </c>
      <c r="L416" s="39"/>
      <c r="M416" s="39"/>
      <c r="N416" s="39"/>
      <c r="O416" s="39"/>
      <c r="P416" s="39" t="str">
        <f t="shared" si="42"/>
        <v>PE</v>
      </c>
      <c r="Q416" s="10">
        <f t="shared" si="43"/>
        <v>0</v>
      </c>
    </row>
    <row r="417" spans="1:17" x14ac:dyDescent="0.2">
      <c r="A417" s="4" t="s">
        <v>1026</v>
      </c>
      <c r="B417" s="17" t="str">
        <f t="shared" si="46"/>
        <v>143 Preferential tariff quota</v>
      </c>
      <c r="C417" s="17" t="str">
        <f t="shared" si="44"/>
        <v>FCFS</v>
      </c>
      <c r="D417" s="14">
        <v>43891</v>
      </c>
      <c r="E417" s="14">
        <v>44255</v>
      </c>
      <c r="F417" s="20">
        <f t="shared" si="45"/>
        <v>364</v>
      </c>
      <c r="G417" s="38">
        <v>3000</v>
      </c>
      <c r="H417" s="39" t="s">
        <v>27</v>
      </c>
      <c r="I417" s="40">
        <v>3</v>
      </c>
      <c r="J417" s="40" t="s">
        <v>192</v>
      </c>
      <c r="K417" s="40">
        <v>90</v>
      </c>
      <c r="L417" s="39"/>
      <c r="M417" s="39"/>
      <c r="N417" s="39"/>
      <c r="O417" s="39"/>
      <c r="P417" s="39" t="str">
        <f t="shared" si="42"/>
        <v>PE</v>
      </c>
      <c r="Q417" s="10">
        <f t="shared" si="43"/>
        <v>0</v>
      </c>
    </row>
    <row r="418" spans="1:17" x14ac:dyDescent="0.2">
      <c r="A418" s="4" t="s">
        <v>1027</v>
      </c>
      <c r="B418" s="17" t="str">
        <f t="shared" si="46"/>
        <v>143 Preferential tariff quota</v>
      </c>
      <c r="C418" s="17" t="str">
        <f t="shared" si="44"/>
        <v>FCFS</v>
      </c>
      <c r="D418" s="14">
        <v>43891</v>
      </c>
      <c r="E418" s="14">
        <v>44255</v>
      </c>
      <c r="F418" s="20">
        <f t="shared" si="45"/>
        <v>364</v>
      </c>
      <c r="G418" s="38">
        <v>67000</v>
      </c>
      <c r="H418" s="39" t="s">
        <v>27</v>
      </c>
      <c r="I418" s="40">
        <v>3</v>
      </c>
      <c r="J418" s="40" t="s">
        <v>192</v>
      </c>
      <c r="K418" s="40">
        <v>90</v>
      </c>
      <c r="L418" s="39"/>
      <c r="M418" s="39"/>
      <c r="N418" s="39"/>
      <c r="O418" s="39"/>
      <c r="P418" s="39" t="str">
        <f t="shared" si="42"/>
        <v>PE</v>
      </c>
      <c r="Q418" s="10">
        <f t="shared" si="43"/>
        <v>0</v>
      </c>
    </row>
    <row r="419" spans="1:17" x14ac:dyDescent="0.2">
      <c r="A419" s="4" t="s">
        <v>1028</v>
      </c>
      <c r="B419" s="17" t="str">
        <f t="shared" si="46"/>
        <v>143 Preferential tariff quota</v>
      </c>
      <c r="C419" s="17" t="str">
        <f t="shared" si="44"/>
        <v>FCFS</v>
      </c>
      <c r="D419" s="14">
        <v>43891</v>
      </c>
      <c r="E419" s="14">
        <v>44255</v>
      </c>
      <c r="F419" s="20">
        <f t="shared" si="45"/>
        <v>364</v>
      </c>
      <c r="G419" s="38">
        <v>6000</v>
      </c>
      <c r="H419" s="39" t="s">
        <v>27</v>
      </c>
      <c r="I419" s="40">
        <v>3</v>
      </c>
      <c r="J419" s="40" t="s">
        <v>192</v>
      </c>
      <c r="K419" s="40">
        <v>90</v>
      </c>
      <c r="L419" s="39"/>
      <c r="M419" s="39"/>
      <c r="N419" s="39"/>
      <c r="O419" s="39"/>
      <c r="P419" s="39" t="str">
        <f t="shared" si="42"/>
        <v>PE</v>
      </c>
      <c r="Q419" s="10">
        <f t="shared" si="43"/>
        <v>0</v>
      </c>
    </row>
    <row r="420" spans="1:17" x14ac:dyDescent="0.2">
      <c r="A420" s="4" t="s">
        <v>1029</v>
      </c>
      <c r="B420" s="17" t="str">
        <f t="shared" si="46"/>
        <v>143 Preferential tariff quota</v>
      </c>
      <c r="C420" s="17" t="str">
        <f t="shared" si="44"/>
        <v>FCFS</v>
      </c>
      <c r="D420" s="14">
        <v>43891</v>
      </c>
      <c r="E420" s="14">
        <v>44255</v>
      </c>
      <c r="F420" s="20">
        <f t="shared" si="45"/>
        <v>364</v>
      </c>
      <c r="G420" s="38">
        <v>83000</v>
      </c>
      <c r="H420" s="39" t="s">
        <v>27</v>
      </c>
      <c r="I420" s="40">
        <v>3</v>
      </c>
      <c r="J420" s="40" t="s">
        <v>192</v>
      </c>
      <c r="K420" s="40">
        <v>90</v>
      </c>
      <c r="L420" s="39"/>
      <c r="M420" s="39"/>
      <c r="N420" s="39"/>
      <c r="O420" s="39"/>
      <c r="P420" s="39" t="str">
        <f t="shared" si="42"/>
        <v>PE</v>
      </c>
      <c r="Q420" s="10">
        <f t="shared" si="43"/>
        <v>0</v>
      </c>
    </row>
    <row r="421" spans="1:17" x14ac:dyDescent="0.2">
      <c r="A421" s="4" t="s">
        <v>1030</v>
      </c>
      <c r="B421" s="17" t="str">
        <f t="shared" si="46"/>
        <v>143 Preferential tariff quota</v>
      </c>
      <c r="C421" s="17" t="str">
        <f t="shared" si="44"/>
        <v>FCFS</v>
      </c>
      <c r="D421" s="14">
        <v>43831</v>
      </c>
      <c r="E421" s="14">
        <v>44196</v>
      </c>
      <c r="F421" s="20">
        <f t="shared" si="45"/>
        <v>365</v>
      </c>
      <c r="G421" s="38">
        <v>469000</v>
      </c>
      <c r="H421" s="39" t="s">
        <v>27</v>
      </c>
      <c r="I421" s="40">
        <v>3</v>
      </c>
      <c r="J421" s="40" t="s">
        <v>192</v>
      </c>
      <c r="K421" s="40">
        <v>90</v>
      </c>
      <c r="L421" s="39"/>
      <c r="M421" s="39"/>
      <c r="N421" s="39"/>
      <c r="O421" s="39"/>
      <c r="P421" s="39" t="str">
        <f t="shared" si="42"/>
        <v>PE</v>
      </c>
      <c r="Q421" s="10">
        <f t="shared" si="43"/>
        <v>0</v>
      </c>
    </row>
    <row r="422" spans="1:17" x14ac:dyDescent="0.2">
      <c r="A422" s="4" t="s">
        <v>1031</v>
      </c>
      <c r="B422" s="17" t="str">
        <f t="shared" si="46"/>
        <v>143 Preferential tariff quota</v>
      </c>
      <c r="C422" s="17" t="str">
        <f t="shared" si="44"/>
        <v>FCFS</v>
      </c>
      <c r="D422" s="14">
        <v>43831</v>
      </c>
      <c r="E422" s="14">
        <v>44196</v>
      </c>
      <c r="F422" s="20">
        <f t="shared" si="45"/>
        <v>365</v>
      </c>
      <c r="G422" s="38">
        <v>414000</v>
      </c>
      <c r="H422" s="39" t="s">
        <v>27</v>
      </c>
      <c r="I422" s="40">
        <v>3</v>
      </c>
      <c r="J422" s="40" t="s">
        <v>192</v>
      </c>
      <c r="K422" s="40">
        <v>90</v>
      </c>
      <c r="L422" s="39"/>
      <c r="M422" s="39"/>
      <c r="N422" s="39"/>
      <c r="O422" s="39"/>
      <c r="P422" s="39" t="str">
        <f t="shared" si="42"/>
        <v>PE</v>
      </c>
      <c r="Q422" s="10">
        <f t="shared" si="43"/>
        <v>0</v>
      </c>
    </row>
    <row r="423" spans="1:17" x14ac:dyDescent="0.2">
      <c r="A423" s="4" t="s">
        <v>1032</v>
      </c>
      <c r="B423" s="17" t="str">
        <f t="shared" si="46"/>
        <v>143 Preferential tariff quota</v>
      </c>
      <c r="C423" s="17" t="str">
        <f t="shared" si="44"/>
        <v>FCFS</v>
      </c>
      <c r="D423" s="14">
        <v>43831</v>
      </c>
      <c r="E423" s="14">
        <v>44196</v>
      </c>
      <c r="F423" s="20">
        <f t="shared" si="45"/>
        <v>365</v>
      </c>
      <c r="G423" s="38">
        <v>109000</v>
      </c>
      <c r="H423" s="39" t="s">
        <v>27</v>
      </c>
      <c r="I423" s="40">
        <v>3</v>
      </c>
      <c r="J423" s="40" t="s">
        <v>192</v>
      </c>
      <c r="K423" s="40">
        <v>90</v>
      </c>
      <c r="L423" s="39"/>
      <c r="M423" s="39"/>
      <c r="N423" s="39"/>
      <c r="O423" s="39"/>
      <c r="P423" s="39" t="str">
        <f t="shared" si="42"/>
        <v>PE</v>
      </c>
      <c r="Q423" s="10">
        <f t="shared" si="43"/>
        <v>0</v>
      </c>
    </row>
    <row r="424" spans="1:17" x14ac:dyDescent="0.2">
      <c r="A424" s="4" t="s">
        <v>1033</v>
      </c>
      <c r="B424" s="17" t="str">
        <f t="shared" si="46"/>
        <v>143 Preferential tariff quota</v>
      </c>
      <c r="C424" s="17" t="str">
        <f t="shared" si="44"/>
        <v>FCFS</v>
      </c>
      <c r="D424" s="14">
        <v>43831</v>
      </c>
      <c r="E424" s="14">
        <v>44196</v>
      </c>
      <c r="F424" s="20">
        <f t="shared" si="45"/>
        <v>365</v>
      </c>
      <c r="G424" s="38">
        <v>545000</v>
      </c>
      <c r="H424" s="39" t="s">
        <v>27</v>
      </c>
      <c r="I424" s="40">
        <v>3</v>
      </c>
      <c r="J424" s="40" t="s">
        <v>192</v>
      </c>
      <c r="K424" s="40">
        <v>90</v>
      </c>
      <c r="L424" s="39"/>
      <c r="M424" s="39"/>
      <c r="N424" s="39"/>
      <c r="O424" s="39"/>
      <c r="P424" s="39" t="str">
        <f t="shared" si="42"/>
        <v>PE</v>
      </c>
      <c r="Q424" s="10">
        <f t="shared" si="43"/>
        <v>0</v>
      </c>
    </row>
    <row r="425" spans="1:17" x14ac:dyDescent="0.2">
      <c r="A425" s="4" t="s">
        <v>1034</v>
      </c>
      <c r="B425" s="17" t="str">
        <f t="shared" si="46"/>
        <v>143 Preferential tariff quota</v>
      </c>
      <c r="C425" s="17" t="str">
        <f t="shared" si="44"/>
        <v>FCFS</v>
      </c>
      <c r="D425" s="14">
        <v>43831</v>
      </c>
      <c r="E425" s="14">
        <v>44196</v>
      </c>
      <c r="F425" s="20">
        <f t="shared" si="45"/>
        <v>365</v>
      </c>
      <c r="G425" s="38">
        <v>324000</v>
      </c>
      <c r="H425" s="39" t="s">
        <v>27</v>
      </c>
      <c r="I425" s="40">
        <v>3</v>
      </c>
      <c r="J425" s="40" t="s">
        <v>192</v>
      </c>
      <c r="K425" s="40">
        <v>90</v>
      </c>
      <c r="L425" s="39"/>
      <c r="M425" s="39"/>
      <c r="N425" s="39"/>
      <c r="O425" s="39"/>
      <c r="P425" s="39" t="str">
        <f t="shared" si="42"/>
        <v>PE</v>
      </c>
      <c r="Q425" s="10">
        <f t="shared" si="43"/>
        <v>0</v>
      </c>
    </row>
    <row r="426" spans="1:17" x14ac:dyDescent="0.2">
      <c r="A426" s="4" t="s">
        <v>1035</v>
      </c>
      <c r="B426" s="17" t="str">
        <f t="shared" si="46"/>
        <v>143 Preferential tariff quota</v>
      </c>
      <c r="C426" s="17" t="str">
        <f t="shared" si="44"/>
        <v>FCFS</v>
      </c>
      <c r="D426" s="14">
        <v>43831</v>
      </c>
      <c r="E426" s="14">
        <v>44196</v>
      </c>
      <c r="F426" s="20">
        <f t="shared" si="45"/>
        <v>365</v>
      </c>
      <c r="G426" s="38">
        <v>33000</v>
      </c>
      <c r="H426" s="39" t="s">
        <v>27</v>
      </c>
      <c r="I426" s="40">
        <v>3</v>
      </c>
      <c r="J426" s="40" t="s">
        <v>192</v>
      </c>
      <c r="K426" s="40">
        <v>90</v>
      </c>
      <c r="L426" s="39"/>
      <c r="M426" s="39"/>
      <c r="N426" s="39"/>
      <c r="O426" s="39"/>
      <c r="P426" s="39" t="str">
        <f t="shared" si="42"/>
        <v>PE</v>
      </c>
      <c r="Q426" s="10">
        <f t="shared" si="43"/>
        <v>0</v>
      </c>
    </row>
    <row r="427" spans="1:17" x14ac:dyDescent="0.2">
      <c r="A427" s="4" t="s">
        <v>1036</v>
      </c>
      <c r="B427" s="17" t="str">
        <f t="shared" si="46"/>
        <v>143 Preferential tariff quota</v>
      </c>
      <c r="C427" s="17" t="str">
        <f t="shared" si="44"/>
        <v>FCFS</v>
      </c>
      <c r="D427" s="14">
        <v>43831</v>
      </c>
      <c r="E427" s="14">
        <v>44196</v>
      </c>
      <c r="F427" s="20">
        <f t="shared" si="45"/>
        <v>365</v>
      </c>
      <c r="G427" s="38">
        <v>2179000</v>
      </c>
      <c r="H427" s="39" t="s">
        <v>27</v>
      </c>
      <c r="I427" s="40">
        <v>3</v>
      </c>
      <c r="J427" s="40" t="s">
        <v>192</v>
      </c>
      <c r="K427" s="40">
        <v>90</v>
      </c>
      <c r="L427" s="39"/>
      <c r="M427" s="39"/>
      <c r="N427" s="39"/>
      <c r="O427" s="39"/>
      <c r="P427" s="39" t="str">
        <f t="shared" si="42"/>
        <v>PE</v>
      </c>
      <c r="Q427" s="10">
        <f t="shared" si="43"/>
        <v>0</v>
      </c>
    </row>
    <row r="428" spans="1:17" x14ac:dyDescent="0.2">
      <c r="A428" s="4" t="s">
        <v>1037</v>
      </c>
      <c r="B428" s="17" t="str">
        <f t="shared" si="46"/>
        <v>143 Preferential tariff quota</v>
      </c>
      <c r="C428" s="17" t="str">
        <f t="shared" si="44"/>
        <v>FCFS</v>
      </c>
      <c r="D428" s="14">
        <v>43831</v>
      </c>
      <c r="E428" s="14">
        <v>44196</v>
      </c>
      <c r="F428" s="20">
        <f t="shared" si="45"/>
        <v>365</v>
      </c>
      <c r="G428" s="38">
        <v>22000</v>
      </c>
      <c r="H428" s="39" t="s">
        <v>27</v>
      </c>
      <c r="I428" s="40">
        <v>3</v>
      </c>
      <c r="J428" s="40" t="s">
        <v>192</v>
      </c>
      <c r="K428" s="40">
        <v>90</v>
      </c>
      <c r="L428" s="39"/>
      <c r="M428" s="39"/>
      <c r="N428" s="39"/>
      <c r="O428" s="39"/>
      <c r="P428" s="39" t="str">
        <f t="shared" si="42"/>
        <v>PE</v>
      </c>
      <c r="Q428" s="10">
        <f t="shared" si="43"/>
        <v>0</v>
      </c>
    </row>
    <row r="429" spans="1:17" x14ac:dyDescent="0.2">
      <c r="A429" s="4" t="s">
        <v>1038</v>
      </c>
      <c r="B429" s="17" t="str">
        <f t="shared" si="46"/>
        <v>143 Preferential tariff quota</v>
      </c>
      <c r="C429" s="17" t="str">
        <f t="shared" si="44"/>
        <v>FCFS</v>
      </c>
      <c r="D429" s="14">
        <v>43831</v>
      </c>
      <c r="E429" s="14">
        <v>44196</v>
      </c>
      <c r="F429" s="20">
        <f t="shared" si="45"/>
        <v>365</v>
      </c>
      <c r="G429" s="38">
        <v>654000</v>
      </c>
      <c r="H429" s="39" t="s">
        <v>27</v>
      </c>
      <c r="I429" s="40">
        <v>3</v>
      </c>
      <c r="J429" s="40" t="s">
        <v>192</v>
      </c>
      <c r="K429" s="40">
        <v>90</v>
      </c>
      <c r="L429" s="39"/>
      <c r="M429" s="39"/>
      <c r="N429" s="39"/>
      <c r="O429" s="39"/>
      <c r="P429" s="39" t="str">
        <f t="shared" si="42"/>
        <v>PE</v>
      </c>
      <c r="Q429" s="10">
        <f t="shared" si="43"/>
        <v>0</v>
      </c>
    </row>
    <row r="430" spans="1:17" x14ac:dyDescent="0.2">
      <c r="A430" s="4" t="s">
        <v>1039</v>
      </c>
      <c r="B430" s="17" t="str">
        <f t="shared" si="46"/>
        <v>143 Preferential tariff quota</v>
      </c>
      <c r="C430" s="17" t="str">
        <f t="shared" si="44"/>
        <v>FCFS</v>
      </c>
      <c r="D430" s="14">
        <v>43831</v>
      </c>
      <c r="E430" s="14">
        <v>44196</v>
      </c>
      <c r="F430" s="20">
        <f t="shared" si="45"/>
        <v>365</v>
      </c>
      <c r="G430" s="38">
        <v>1308000</v>
      </c>
      <c r="H430" s="39" t="s">
        <v>27</v>
      </c>
      <c r="I430" s="40">
        <v>3</v>
      </c>
      <c r="J430" s="40" t="s">
        <v>192</v>
      </c>
      <c r="K430" s="40">
        <v>90</v>
      </c>
      <c r="L430" s="39"/>
      <c r="M430" s="39"/>
      <c r="N430" s="39"/>
      <c r="O430" s="39"/>
      <c r="P430" s="39" t="str">
        <f t="shared" si="42"/>
        <v>PE</v>
      </c>
      <c r="Q430" s="10">
        <f t="shared" si="43"/>
        <v>0</v>
      </c>
    </row>
    <row r="431" spans="1:17" x14ac:dyDescent="0.2">
      <c r="A431" s="4" t="s">
        <v>1040</v>
      </c>
      <c r="B431" s="17" t="str">
        <f t="shared" si="46"/>
        <v>143 Preferential tariff quota</v>
      </c>
      <c r="C431" s="17" t="str">
        <f t="shared" si="44"/>
        <v>FCFS</v>
      </c>
      <c r="D431" s="14">
        <v>43831</v>
      </c>
      <c r="E431" s="14">
        <v>44196</v>
      </c>
      <c r="F431" s="20">
        <f t="shared" si="45"/>
        <v>365</v>
      </c>
      <c r="G431" s="38">
        <v>416000</v>
      </c>
      <c r="H431" s="39" t="s">
        <v>27</v>
      </c>
      <c r="I431" s="40">
        <v>3</v>
      </c>
      <c r="J431" s="40" t="s">
        <v>192</v>
      </c>
      <c r="K431" s="40">
        <v>90</v>
      </c>
      <c r="L431" s="39"/>
      <c r="M431" s="39"/>
      <c r="N431" s="39"/>
      <c r="O431" s="39"/>
      <c r="P431" s="39" t="str">
        <f t="shared" si="42"/>
        <v>PE</v>
      </c>
      <c r="Q431" s="10">
        <f t="shared" si="43"/>
        <v>0</v>
      </c>
    </row>
    <row r="432" spans="1:17" x14ac:dyDescent="0.2">
      <c r="A432" s="4" t="s">
        <v>1041</v>
      </c>
      <c r="B432" s="17" t="str">
        <f t="shared" si="46"/>
        <v>143 Preferential tariff quota</v>
      </c>
      <c r="C432" s="17" t="str">
        <f t="shared" si="44"/>
        <v>FCFS</v>
      </c>
      <c r="D432" s="14">
        <v>43831</v>
      </c>
      <c r="E432" s="14">
        <v>44196</v>
      </c>
      <c r="F432" s="20">
        <f t="shared" si="45"/>
        <v>365</v>
      </c>
      <c r="G432" s="38">
        <v>1634000</v>
      </c>
      <c r="H432" s="39" t="s">
        <v>27</v>
      </c>
      <c r="I432" s="40">
        <v>3</v>
      </c>
      <c r="J432" s="40" t="s">
        <v>192</v>
      </c>
      <c r="K432" s="40">
        <v>90</v>
      </c>
      <c r="L432" s="39"/>
      <c r="M432" s="39"/>
      <c r="N432" s="39"/>
      <c r="O432" s="39"/>
      <c r="P432" s="39" t="str">
        <f t="shared" si="42"/>
        <v>PE</v>
      </c>
      <c r="Q432" s="10">
        <f t="shared" si="43"/>
        <v>0</v>
      </c>
    </row>
    <row r="433" spans="1:17" x14ac:dyDescent="0.2">
      <c r="A433" s="4" t="s">
        <v>1042</v>
      </c>
      <c r="B433" s="17" t="str">
        <f t="shared" si="46"/>
        <v>143 Preferential tariff quota</v>
      </c>
      <c r="C433" s="17" t="str">
        <f t="shared" si="44"/>
        <v>FCFS</v>
      </c>
      <c r="D433" s="14">
        <v>43831</v>
      </c>
      <c r="E433" s="14">
        <v>44196</v>
      </c>
      <c r="F433" s="20">
        <f t="shared" si="45"/>
        <v>365</v>
      </c>
      <c r="G433" s="38">
        <v>7409000</v>
      </c>
      <c r="H433" s="39" t="s">
        <v>27</v>
      </c>
      <c r="I433" s="40">
        <v>3</v>
      </c>
      <c r="J433" s="40" t="s">
        <v>192</v>
      </c>
      <c r="K433" s="40">
        <v>90</v>
      </c>
      <c r="L433" s="39"/>
      <c r="M433" s="39"/>
      <c r="N433" s="39"/>
      <c r="O433" s="39"/>
      <c r="P433" s="39" t="str">
        <f t="shared" si="42"/>
        <v>PE</v>
      </c>
      <c r="Q433" s="10">
        <f t="shared" si="43"/>
        <v>0</v>
      </c>
    </row>
    <row r="434" spans="1:17" x14ac:dyDescent="0.2">
      <c r="A434" s="4" t="s">
        <v>1043</v>
      </c>
      <c r="B434" s="17" t="str">
        <f t="shared" si="46"/>
        <v>143 Preferential tariff quota</v>
      </c>
      <c r="C434" s="17" t="str">
        <f t="shared" si="44"/>
        <v>FCFS</v>
      </c>
      <c r="D434" s="14">
        <v>43831</v>
      </c>
      <c r="E434" s="14">
        <v>44196</v>
      </c>
      <c r="F434" s="20">
        <f t="shared" si="45"/>
        <v>365</v>
      </c>
      <c r="G434" s="38">
        <v>21800</v>
      </c>
      <c r="H434" s="39" t="s">
        <v>39</v>
      </c>
      <c r="I434" s="40">
        <v>3</v>
      </c>
      <c r="J434" s="40" t="s">
        <v>192</v>
      </c>
      <c r="K434" s="40">
        <v>90</v>
      </c>
      <c r="L434" s="39"/>
      <c r="M434" s="39"/>
      <c r="N434" s="39"/>
      <c r="O434" s="39"/>
      <c r="P434" s="39" t="str">
        <f t="shared" si="42"/>
        <v>PE</v>
      </c>
      <c r="Q434" s="10">
        <f t="shared" si="43"/>
        <v>0</v>
      </c>
    </row>
    <row r="435" spans="1:17" x14ac:dyDescent="0.2">
      <c r="A435" s="4" t="s">
        <v>1044</v>
      </c>
      <c r="B435" s="17" t="str">
        <f t="shared" si="46"/>
        <v>143 Preferential tariff quota</v>
      </c>
      <c r="C435" s="17" t="str">
        <f t="shared" si="44"/>
        <v>FCFS</v>
      </c>
      <c r="D435" s="14">
        <v>43831</v>
      </c>
      <c r="E435" s="14">
        <v>44196</v>
      </c>
      <c r="F435" s="20">
        <f t="shared" si="45"/>
        <v>365</v>
      </c>
      <c r="G435" s="38">
        <v>153000</v>
      </c>
      <c r="H435" s="39" t="s">
        <v>27</v>
      </c>
      <c r="I435" s="40">
        <v>3</v>
      </c>
      <c r="J435" s="40" t="s">
        <v>192</v>
      </c>
      <c r="K435" s="40">
        <v>90</v>
      </c>
      <c r="L435" s="39"/>
      <c r="M435" s="39"/>
      <c r="N435" s="39"/>
      <c r="O435" s="39"/>
      <c r="P435" s="39" t="str">
        <f t="shared" si="42"/>
        <v>PE</v>
      </c>
      <c r="Q435" s="10">
        <f t="shared" si="43"/>
        <v>0</v>
      </c>
    </row>
    <row r="436" spans="1:17" x14ac:dyDescent="0.2">
      <c r="A436" s="4" t="s">
        <v>1045</v>
      </c>
      <c r="B436" s="17" t="str">
        <f t="shared" si="46"/>
        <v>143 Preferential tariff quota</v>
      </c>
      <c r="C436" s="17" t="str">
        <f t="shared" si="44"/>
        <v>FCFS</v>
      </c>
      <c r="D436" s="14">
        <v>43831</v>
      </c>
      <c r="E436" s="14">
        <v>44196</v>
      </c>
      <c r="F436" s="20">
        <f t="shared" si="45"/>
        <v>365</v>
      </c>
      <c r="G436" s="38">
        <v>7000</v>
      </c>
      <c r="H436" s="39" t="s">
        <v>27</v>
      </c>
      <c r="I436" s="40">
        <v>3</v>
      </c>
      <c r="J436" s="40" t="s">
        <v>192</v>
      </c>
      <c r="K436" s="40">
        <v>90</v>
      </c>
      <c r="L436" s="39"/>
      <c r="M436" s="39"/>
      <c r="N436" s="39"/>
      <c r="O436" s="39"/>
      <c r="P436" s="39" t="str">
        <f t="shared" si="42"/>
        <v>PE</v>
      </c>
      <c r="Q436" s="10">
        <f t="shared" si="43"/>
        <v>0</v>
      </c>
    </row>
    <row r="437" spans="1:17" x14ac:dyDescent="0.2">
      <c r="A437" s="4" t="s">
        <v>1046</v>
      </c>
      <c r="B437" s="17" t="str">
        <f t="shared" si="46"/>
        <v>143 Preferential tariff quota</v>
      </c>
      <c r="C437" s="17" t="str">
        <f t="shared" si="44"/>
        <v>FCFS</v>
      </c>
      <c r="D437" s="14">
        <v>43831</v>
      </c>
      <c r="E437" s="14">
        <v>44196</v>
      </c>
      <c r="F437" s="20">
        <f t="shared" si="45"/>
        <v>365</v>
      </c>
      <c r="G437" s="38">
        <v>4325000</v>
      </c>
      <c r="H437" s="39" t="s">
        <v>27</v>
      </c>
      <c r="I437" s="40">
        <v>3</v>
      </c>
      <c r="J437" s="40" t="s">
        <v>192</v>
      </c>
      <c r="K437" s="40">
        <v>90</v>
      </c>
      <c r="L437" s="39"/>
      <c r="M437" s="39"/>
      <c r="N437" s="39"/>
      <c r="O437" s="39"/>
      <c r="P437" s="39" t="str">
        <f t="shared" si="42"/>
        <v>PE</v>
      </c>
      <c r="Q437" s="10">
        <f t="shared" si="43"/>
        <v>0</v>
      </c>
    </row>
    <row r="438" spans="1:17" x14ac:dyDescent="0.2">
      <c r="A438" s="4" t="s">
        <v>1047</v>
      </c>
      <c r="B438" s="17" t="str">
        <f t="shared" si="46"/>
        <v>143 Preferential tariff quota</v>
      </c>
      <c r="C438" s="17" t="str">
        <f t="shared" si="44"/>
        <v>FCFS</v>
      </c>
      <c r="D438" s="14">
        <v>43831</v>
      </c>
      <c r="E438" s="14">
        <v>44196</v>
      </c>
      <c r="F438" s="20">
        <f t="shared" si="45"/>
        <v>365</v>
      </c>
      <c r="G438" s="38">
        <v>1966000</v>
      </c>
      <c r="H438" s="39" t="s">
        <v>27</v>
      </c>
      <c r="I438" s="40">
        <v>3</v>
      </c>
      <c r="J438" s="40" t="s">
        <v>192</v>
      </c>
      <c r="K438" s="40">
        <v>90</v>
      </c>
      <c r="L438" s="39"/>
      <c r="M438" s="39"/>
      <c r="N438" s="39"/>
      <c r="O438" s="39"/>
      <c r="P438" s="39" t="str">
        <f t="shared" si="42"/>
        <v>PE</v>
      </c>
      <c r="Q438" s="10">
        <f t="shared" si="43"/>
        <v>0</v>
      </c>
    </row>
  </sheetData>
  <autoFilter ref="A1:P438" xr:uid="{6EEF3B31-31B7-4F41-83A3-EF68C7EA1F96}"/>
  <conditionalFormatting sqref="A189">
    <cfRule type="expression" dxfId="74" priority="81">
      <formula>$D189="Licensed"</formula>
    </cfRule>
  </conditionalFormatting>
  <conditionalFormatting sqref="A186:A187">
    <cfRule type="expression" dxfId="73" priority="83">
      <formula>$D186="Licensed"</formula>
    </cfRule>
  </conditionalFormatting>
  <conditionalFormatting sqref="A188">
    <cfRule type="expression" dxfId="72" priority="82">
      <formula>$D188="Licensed"</formula>
    </cfRule>
  </conditionalFormatting>
  <conditionalFormatting sqref="A253:A261">
    <cfRule type="expression" dxfId="71" priority="80">
      <formula>$D253="Licensed"</formula>
    </cfRule>
  </conditionalFormatting>
  <conditionalFormatting sqref="A262:A270">
    <cfRule type="expression" dxfId="70" priority="79">
      <formula>$D262="Licensed"</formula>
    </cfRule>
  </conditionalFormatting>
  <conditionalFormatting sqref="A1:P183 A186:P237 A253:P270 A239:P251 A439:P1048576 D271:O314 E327:E334 G315:O334 A355:A396">
    <cfRule type="expression" dxfId="69" priority="78">
      <formula>$C1="Licensed"</formula>
    </cfRule>
  </conditionalFormatting>
  <conditionalFormatting sqref="A184:P185">
    <cfRule type="expression" dxfId="68" priority="77">
      <formula>$C184="Licensed"</formula>
    </cfRule>
  </conditionalFormatting>
  <conditionalFormatting sqref="A238:C238 G238:P238">
    <cfRule type="expression" dxfId="67" priority="76">
      <formula>$C238="Licensed"</formula>
    </cfRule>
  </conditionalFormatting>
  <conditionalFormatting sqref="D238:E238">
    <cfRule type="expression" dxfId="66" priority="75">
      <formula>$C238="Licensed"</formula>
    </cfRule>
  </conditionalFormatting>
  <conditionalFormatting sqref="F238">
    <cfRule type="expression" dxfId="65" priority="74">
      <formula>$C238="Licensed"</formula>
    </cfRule>
  </conditionalFormatting>
  <conditionalFormatting sqref="A252:C252 G252:P252">
    <cfRule type="expression" dxfId="64" priority="73">
      <formula>$C252="Licensed"</formula>
    </cfRule>
  </conditionalFormatting>
  <conditionalFormatting sqref="E252">
    <cfRule type="expression" dxfId="63" priority="72">
      <formula>$C252="Licensed"</formula>
    </cfRule>
  </conditionalFormatting>
  <conditionalFormatting sqref="F252">
    <cfRule type="expression" dxfId="62" priority="71">
      <formula>$C252="Licensed"</formula>
    </cfRule>
  </conditionalFormatting>
  <conditionalFormatting sqref="D252">
    <cfRule type="expression" dxfId="61" priority="70">
      <formula>$C252="Licensed"</formula>
    </cfRule>
  </conditionalFormatting>
  <conditionalFormatting sqref="A271:A292">
    <cfRule type="expression" dxfId="60" priority="69">
      <formula>$D271="Licensed"</formula>
    </cfRule>
  </conditionalFormatting>
  <conditionalFormatting sqref="A293:A314">
    <cfRule type="expression" dxfId="59" priority="68">
      <formula>$D293="Licensed"</formula>
    </cfRule>
  </conditionalFormatting>
  <conditionalFormatting sqref="B271:C314">
    <cfRule type="expression" dxfId="58" priority="67">
      <formula>$C271="Licensed"</formula>
    </cfRule>
  </conditionalFormatting>
  <conditionalFormatting sqref="P271:P314">
    <cfRule type="expression" dxfId="57" priority="66">
      <formula>$C271="Licensed"</formula>
    </cfRule>
  </conditionalFormatting>
  <conditionalFormatting sqref="P315">
    <cfRule type="expression" dxfId="56" priority="65">
      <formula>$C315="Licensed"</formula>
    </cfRule>
  </conditionalFormatting>
  <conditionalFormatting sqref="D315:E315">
    <cfRule type="expression" dxfId="55" priority="64">
      <formula>$C315="Licensed"</formula>
    </cfRule>
  </conditionalFormatting>
  <conditionalFormatting sqref="B315:C315">
    <cfRule type="expression" dxfId="54" priority="63">
      <formula>$C315="Licensed"</formula>
    </cfRule>
  </conditionalFormatting>
  <conditionalFormatting sqref="A315:A334">
    <cfRule type="expression" dxfId="53" priority="62">
      <formula>$D315="Licensed"</formula>
    </cfRule>
  </conditionalFormatting>
  <conditionalFormatting sqref="P316:P334">
    <cfRule type="expression" dxfId="52" priority="61">
      <formula>$C316="Licensed"</formula>
    </cfRule>
  </conditionalFormatting>
  <conditionalFormatting sqref="B316:C334">
    <cfRule type="expression" dxfId="51" priority="60">
      <formula>$C316="Licensed"</formula>
    </cfRule>
  </conditionalFormatting>
  <conditionalFormatting sqref="D347:D354 G335:O354">
    <cfRule type="expression" dxfId="50" priority="59">
      <formula>$C335="Licensed"</formula>
    </cfRule>
  </conditionalFormatting>
  <conditionalFormatting sqref="P335">
    <cfRule type="expression" dxfId="49" priority="58">
      <formula>$C335="Licensed"</formula>
    </cfRule>
  </conditionalFormatting>
  <conditionalFormatting sqref="D335">
    <cfRule type="expression" dxfId="48" priority="57">
      <formula>$C335="Licensed"</formula>
    </cfRule>
  </conditionalFormatting>
  <conditionalFormatting sqref="B335:C335">
    <cfRule type="expression" dxfId="47" priority="56">
      <formula>$C335="Licensed"</formula>
    </cfRule>
  </conditionalFormatting>
  <conditionalFormatting sqref="A335:A354">
    <cfRule type="expression" dxfId="46" priority="55">
      <formula>$D335="Licensed"</formula>
    </cfRule>
  </conditionalFormatting>
  <conditionalFormatting sqref="P336:P354">
    <cfRule type="expression" dxfId="45" priority="54">
      <formula>$C336="Licensed"</formula>
    </cfRule>
  </conditionalFormatting>
  <conditionalFormatting sqref="B336:C354">
    <cfRule type="expression" dxfId="44" priority="53">
      <formula>$C336="Licensed"</formula>
    </cfRule>
  </conditionalFormatting>
  <conditionalFormatting sqref="D316:D326">
    <cfRule type="expression" dxfId="43" priority="52">
      <formula>$C316="Licensed"</formula>
    </cfRule>
  </conditionalFormatting>
  <conditionalFormatting sqref="D422:D438">
    <cfRule type="expression" dxfId="42" priority="4">
      <formula>$C422="Licensed"</formula>
    </cfRule>
  </conditionalFormatting>
  <conditionalFormatting sqref="D327:D334">
    <cfRule type="expression" dxfId="41" priority="50">
      <formula>$C327="Licensed"</formula>
    </cfRule>
  </conditionalFormatting>
  <conditionalFormatting sqref="E316:E326">
    <cfRule type="expression" dxfId="40" priority="49">
      <formula>$C316="Licensed"</formula>
    </cfRule>
  </conditionalFormatting>
  <conditionalFormatting sqref="D336:D346">
    <cfRule type="expression" dxfId="39" priority="48">
      <formula>$C336="Licensed"</formula>
    </cfRule>
  </conditionalFormatting>
  <conditionalFormatting sqref="E336">
    <cfRule type="expression" dxfId="38" priority="47">
      <formula>$C336="Licensed"</formula>
    </cfRule>
  </conditionalFormatting>
  <conditionalFormatting sqref="E337:E346">
    <cfRule type="expression" dxfId="37" priority="46">
      <formula>$C337="Licensed"</formula>
    </cfRule>
  </conditionalFormatting>
  <conditionalFormatting sqref="E347">
    <cfRule type="expression" dxfId="36" priority="45">
      <formula>$C347="Licensed"</formula>
    </cfRule>
  </conditionalFormatting>
  <conditionalFormatting sqref="E348:E354">
    <cfRule type="expression" dxfId="35" priority="44">
      <formula>$C348="Licensed"</formula>
    </cfRule>
  </conditionalFormatting>
  <conditionalFormatting sqref="F315:F354">
    <cfRule type="expression" dxfId="34" priority="43">
      <formula>$C315="Licensed"</formula>
    </cfRule>
  </conditionalFormatting>
  <conditionalFormatting sqref="E335">
    <cfRule type="expression" dxfId="33" priority="42">
      <formula>$C335="Licensed"</formula>
    </cfRule>
  </conditionalFormatting>
  <conditionalFormatting sqref="G355:O355">
    <cfRule type="expression" dxfId="32" priority="41">
      <formula>$C355="Licensed"</formula>
    </cfRule>
  </conditionalFormatting>
  <conditionalFormatting sqref="P355">
    <cfRule type="expression" dxfId="31" priority="40">
      <formula>$C355="Licensed"</formula>
    </cfRule>
  </conditionalFormatting>
  <conditionalFormatting sqref="E398:E420">
    <cfRule type="expression" dxfId="30" priority="5">
      <formula>$C398="Licensed"</formula>
    </cfRule>
  </conditionalFormatting>
  <conditionalFormatting sqref="E422:E438">
    <cfRule type="expression" dxfId="29" priority="3">
      <formula>$C422="Licensed"</formula>
    </cfRule>
  </conditionalFormatting>
  <conditionalFormatting sqref="D355">
    <cfRule type="expression" dxfId="28" priority="36">
      <formula>$C355="Licensed"</formula>
    </cfRule>
  </conditionalFormatting>
  <conditionalFormatting sqref="B355:C355">
    <cfRule type="expression" dxfId="27" priority="35">
      <formula>$C355="Licensed"</formula>
    </cfRule>
  </conditionalFormatting>
  <conditionalFormatting sqref="E355">
    <cfRule type="expression" dxfId="26" priority="34">
      <formula>$C355="Licensed"</formula>
    </cfRule>
  </conditionalFormatting>
  <conditionalFormatting sqref="F355">
    <cfRule type="expression" dxfId="25" priority="33">
      <formula>$C355="Licensed"</formula>
    </cfRule>
  </conditionalFormatting>
  <conditionalFormatting sqref="G356:O396">
    <cfRule type="expression" dxfId="24" priority="32">
      <formula>$C356="Licensed"</formula>
    </cfRule>
  </conditionalFormatting>
  <conditionalFormatting sqref="P356:P396">
    <cfRule type="expression" dxfId="23" priority="31">
      <formula>$C356="Licensed"</formula>
    </cfRule>
  </conditionalFormatting>
  <conditionalFormatting sqref="B356:C396">
    <cfRule type="expression" dxfId="22" priority="29">
      <formula>$C356="Licensed"</formula>
    </cfRule>
  </conditionalFormatting>
  <conditionalFormatting sqref="E379:E396">
    <cfRule type="expression" dxfId="21" priority="28">
      <formula>$C379="Licensed"</formula>
    </cfRule>
  </conditionalFormatting>
  <conditionalFormatting sqref="F356:F396">
    <cfRule type="expression" dxfId="20" priority="27">
      <formula>$C356="Licensed"</formula>
    </cfRule>
  </conditionalFormatting>
  <conditionalFormatting sqref="A397:A438">
    <cfRule type="expression" dxfId="19" priority="26">
      <formula>$C397="Licensed"</formula>
    </cfRule>
  </conditionalFormatting>
  <conditionalFormatting sqref="G397:O397">
    <cfRule type="expression" dxfId="18" priority="25">
      <formula>$C397="Licensed"</formula>
    </cfRule>
  </conditionalFormatting>
  <conditionalFormatting sqref="P397">
    <cfRule type="expression" dxfId="17" priority="24">
      <formula>$C397="Licensed"</formula>
    </cfRule>
  </conditionalFormatting>
  <conditionalFormatting sqref="D420:D421">
    <cfRule type="expression" dxfId="16" priority="17">
      <formula>$C420="Licensed"</formula>
    </cfRule>
  </conditionalFormatting>
  <conditionalFormatting sqref="B397:C397">
    <cfRule type="expression" dxfId="15" priority="22">
      <formula>$C397="Licensed"</formula>
    </cfRule>
  </conditionalFormatting>
  <conditionalFormatting sqref="B398:C438">
    <cfRule type="expression" dxfId="14" priority="16">
      <formula>$C398="Licensed"</formula>
    </cfRule>
  </conditionalFormatting>
  <conditionalFormatting sqref="F397">
    <cfRule type="expression" dxfId="13" priority="20">
      <formula>$C397="Licensed"</formula>
    </cfRule>
  </conditionalFormatting>
  <conditionalFormatting sqref="G398:O433 G435:O438 G434 I434:O434">
    <cfRule type="expression" dxfId="12" priority="19">
      <formula>$C398="Licensed"</formula>
    </cfRule>
  </conditionalFormatting>
  <conditionalFormatting sqref="P398:P438">
    <cfRule type="expression" dxfId="11" priority="18">
      <formula>$C398="Licensed"</formula>
    </cfRule>
  </conditionalFormatting>
  <conditionalFormatting sqref="E421">
    <cfRule type="expression" dxfId="10" priority="15">
      <formula>$C421="Licensed"</formula>
    </cfRule>
  </conditionalFormatting>
  <conditionalFormatting sqref="F398:F438">
    <cfRule type="expression" dxfId="9" priority="14">
      <formula>$C398="Licensed"</formula>
    </cfRule>
  </conditionalFormatting>
  <conditionalFormatting sqref="H434">
    <cfRule type="expression" dxfId="8" priority="13">
      <formula>$C434="Licensed"</formula>
    </cfRule>
  </conditionalFormatting>
  <conditionalFormatting sqref="D356:D378">
    <cfRule type="expression" dxfId="7" priority="12">
      <formula>$C356="Licensed"</formula>
    </cfRule>
  </conditionalFormatting>
  <conditionalFormatting sqref="E356:E378">
    <cfRule type="expression" dxfId="6" priority="11">
      <formula>$C356="Licensed"</formula>
    </cfRule>
  </conditionalFormatting>
  <conditionalFormatting sqref="D379">
    <cfRule type="expression" dxfId="5" priority="10">
      <formula>$C379="Licensed"</formula>
    </cfRule>
  </conditionalFormatting>
  <conditionalFormatting sqref="D380:D396">
    <cfRule type="expression" dxfId="4" priority="9">
      <formula>$C380="Licensed"</formula>
    </cfRule>
  </conditionalFormatting>
  <conditionalFormatting sqref="D397:D419">
    <cfRule type="expression" dxfId="3" priority="8">
      <formula>$C397="Licensed"</formula>
    </cfRule>
  </conditionalFormatting>
  <conditionalFormatting sqref="E397">
    <cfRule type="expression" dxfId="2" priority="7">
      <formula>$C397="Licensed"</formula>
    </cfRule>
  </conditionalFormatting>
  <conditionalFormatting sqref="Q1">
    <cfRule type="expression" dxfId="1" priority="2">
      <formula>$C1="Licensed"</formula>
    </cfRule>
  </conditionalFormatting>
  <conditionalFormatting sqref="Q2:Q438">
    <cfRule type="expression" dxfId="0" priority="1">
      <formula>$C2="Licensed"</formula>
    </cfRule>
  </conditionalFormatting>
  <dataValidations count="2">
    <dataValidation type="list" allowBlank="1" showInputMessage="1" showErrorMessage="1" sqref="A1:A65 A102:A185 A190:A252 B1:C1048576 A355:A1048576" xr:uid="{651D2AEF-DA18-450B-A166-46B48EEB75CB}">
      <formula1>quota_order_numbers</formula1>
    </dataValidation>
    <dataValidation type="list" allowBlank="1" showInputMessage="1" showErrorMessage="1" sqref="H1:H1048576" xr:uid="{51C1CD5E-2D91-4EE2-8A17-0ECF2117FDFD}">
      <formula1>measurement_units</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3923D-F311-4BD1-AF5E-46703B064333}">
  <sheetPr codeName="Sheet3"/>
  <dimension ref="A1:J1332"/>
  <sheetViews>
    <sheetView tabSelected="1" topLeftCell="E1" zoomScale="85" zoomScaleNormal="85" workbookViewId="0">
      <pane ySplit="1" topLeftCell="A2" activePane="bottomLeft" state="frozen"/>
      <selection pane="bottomLeft" activeCell="H2" sqref="H2"/>
    </sheetView>
  </sheetViews>
  <sheetFormatPr baseColWidth="10" defaultColWidth="8.83203125" defaultRowHeight="15" x14ac:dyDescent="0.2"/>
  <cols>
    <col min="1" max="1" width="19.5" style="4" bestFit="1" customWidth="1"/>
    <col min="2" max="2" width="19.1640625" style="4" bestFit="1" customWidth="1"/>
    <col min="3" max="3" width="19.1640625" style="17" customWidth="1"/>
    <col min="4" max="4" width="20" style="12" customWidth="1"/>
    <col min="5" max="6" width="26.5" style="12" customWidth="1"/>
    <col min="7" max="9" width="26.5" style="5" customWidth="1"/>
    <col min="10" max="10" width="9.1640625" style="10"/>
  </cols>
  <sheetData>
    <row r="1" spans="1:10" x14ac:dyDescent="0.2">
      <c r="A1" s="2" t="s">
        <v>73</v>
      </c>
      <c r="B1" s="2" t="s">
        <v>74</v>
      </c>
      <c r="C1" s="2" t="s">
        <v>217</v>
      </c>
      <c r="D1" s="11" t="s">
        <v>75</v>
      </c>
      <c r="E1" s="11" t="s">
        <v>89</v>
      </c>
      <c r="F1" s="3" t="s">
        <v>76</v>
      </c>
      <c r="G1" s="3" t="s">
        <v>90</v>
      </c>
      <c r="H1" s="3" t="s">
        <v>1388</v>
      </c>
      <c r="I1" s="3" t="s">
        <v>293</v>
      </c>
      <c r="J1" s="9" t="s">
        <v>1211</v>
      </c>
    </row>
    <row r="2" spans="1:10" x14ac:dyDescent="0.2">
      <c r="A2" s="4" t="s">
        <v>219</v>
      </c>
      <c r="B2" s="4" t="s">
        <v>92</v>
      </c>
      <c r="C2" s="17" t="str">
        <f t="shared" ref="C2:C65" si="0">VLOOKUP(B2, quota_order_numbers2, 6, FALSE)</f>
        <v>CH</v>
      </c>
      <c r="D2" s="12">
        <v>0</v>
      </c>
      <c r="J2" s="10">
        <f t="shared" ref="J2:J65" si="1">VLOOKUP(B2, quota_order_numbers2, 2, FALSE)</f>
        <v>0</v>
      </c>
    </row>
    <row r="3" spans="1:10" x14ac:dyDescent="0.2">
      <c r="A3" s="4" t="s">
        <v>220</v>
      </c>
      <c r="B3" s="4" t="s">
        <v>92</v>
      </c>
      <c r="C3" s="17" t="str">
        <f t="shared" si="0"/>
        <v>CH</v>
      </c>
      <c r="D3" s="12">
        <v>0</v>
      </c>
      <c r="J3" s="10">
        <f t="shared" si="1"/>
        <v>0</v>
      </c>
    </row>
    <row r="4" spans="1:10" x14ac:dyDescent="0.2">
      <c r="A4" s="4" t="s">
        <v>221</v>
      </c>
      <c r="B4" s="4" t="s">
        <v>92</v>
      </c>
      <c r="C4" s="17" t="str">
        <f t="shared" si="0"/>
        <v>CH</v>
      </c>
      <c r="D4" s="12">
        <v>0</v>
      </c>
      <c r="J4" s="10">
        <f t="shared" si="1"/>
        <v>0</v>
      </c>
    </row>
    <row r="5" spans="1:10" x14ac:dyDescent="0.2">
      <c r="A5" s="4" t="s">
        <v>222</v>
      </c>
      <c r="B5" s="4" t="s">
        <v>92</v>
      </c>
      <c r="C5" s="17" t="str">
        <f t="shared" si="0"/>
        <v>CH</v>
      </c>
      <c r="D5" s="12">
        <v>0</v>
      </c>
      <c r="J5" s="10">
        <f t="shared" si="1"/>
        <v>0</v>
      </c>
    </row>
    <row r="6" spans="1:10" x14ac:dyDescent="0.2">
      <c r="A6" s="4" t="s">
        <v>223</v>
      </c>
      <c r="B6" s="4" t="s">
        <v>92</v>
      </c>
      <c r="C6" s="17" t="str">
        <f t="shared" si="0"/>
        <v>CH</v>
      </c>
      <c r="D6" s="12">
        <v>0</v>
      </c>
      <c r="J6" s="10">
        <f t="shared" si="1"/>
        <v>0</v>
      </c>
    </row>
    <row r="7" spans="1:10" x14ac:dyDescent="0.2">
      <c r="A7" s="4" t="s">
        <v>224</v>
      </c>
      <c r="B7" s="4" t="s">
        <v>92</v>
      </c>
      <c r="C7" s="17" t="str">
        <f t="shared" si="0"/>
        <v>CH</v>
      </c>
      <c r="D7" s="12">
        <v>0</v>
      </c>
      <c r="J7" s="10">
        <f t="shared" si="1"/>
        <v>0</v>
      </c>
    </row>
    <row r="8" spans="1:10" x14ac:dyDescent="0.2">
      <c r="A8" s="4" t="s">
        <v>225</v>
      </c>
      <c r="B8" s="4" t="s">
        <v>92</v>
      </c>
      <c r="C8" s="17" t="str">
        <f t="shared" si="0"/>
        <v>CH</v>
      </c>
      <c r="D8" s="12">
        <v>0</v>
      </c>
      <c r="J8" s="10">
        <f t="shared" si="1"/>
        <v>0</v>
      </c>
    </row>
    <row r="9" spans="1:10" x14ac:dyDescent="0.2">
      <c r="A9" s="4" t="s">
        <v>226</v>
      </c>
      <c r="B9" s="4" t="s">
        <v>92</v>
      </c>
      <c r="C9" s="17" t="str">
        <f t="shared" si="0"/>
        <v>CH</v>
      </c>
      <c r="D9" s="12">
        <v>0</v>
      </c>
      <c r="J9" s="10">
        <f t="shared" si="1"/>
        <v>0</v>
      </c>
    </row>
    <row r="10" spans="1:10" x14ac:dyDescent="0.2">
      <c r="A10" s="4" t="s">
        <v>227</v>
      </c>
      <c r="B10" s="4" t="s">
        <v>92</v>
      </c>
      <c r="C10" s="17" t="str">
        <f t="shared" si="0"/>
        <v>CH</v>
      </c>
      <c r="D10" s="12">
        <v>0</v>
      </c>
      <c r="J10" s="10">
        <f t="shared" si="1"/>
        <v>0</v>
      </c>
    </row>
    <row r="11" spans="1:10" x14ac:dyDescent="0.2">
      <c r="A11" s="4" t="s">
        <v>228</v>
      </c>
      <c r="B11" s="4" t="s">
        <v>93</v>
      </c>
      <c r="C11" s="17" t="str">
        <f t="shared" si="0"/>
        <v>CH</v>
      </c>
      <c r="D11" s="12">
        <v>0</v>
      </c>
      <c r="J11" s="10">
        <f t="shared" si="1"/>
        <v>0</v>
      </c>
    </row>
    <row r="12" spans="1:10" x14ac:dyDescent="0.2">
      <c r="A12" s="4" t="s">
        <v>229</v>
      </c>
      <c r="B12" s="4" t="s">
        <v>94</v>
      </c>
      <c r="C12" s="17" t="str">
        <f t="shared" si="0"/>
        <v>CH</v>
      </c>
      <c r="D12" s="12">
        <v>0</v>
      </c>
      <c r="J12" s="10">
        <f t="shared" si="1"/>
        <v>0</v>
      </c>
    </row>
    <row r="13" spans="1:10" x14ac:dyDescent="0.2">
      <c r="A13" s="4" t="s">
        <v>230</v>
      </c>
      <c r="B13" s="4" t="s">
        <v>95</v>
      </c>
      <c r="C13" s="17" t="str">
        <f t="shared" si="0"/>
        <v>CH</v>
      </c>
      <c r="D13" s="12">
        <v>0</v>
      </c>
      <c r="J13" s="10">
        <f t="shared" si="1"/>
        <v>0</v>
      </c>
    </row>
    <row r="14" spans="1:10" x14ac:dyDescent="0.2">
      <c r="A14" s="4" t="s">
        <v>231</v>
      </c>
      <c r="B14" s="4" t="s">
        <v>95</v>
      </c>
      <c r="C14" s="17" t="str">
        <f t="shared" si="0"/>
        <v>CH</v>
      </c>
      <c r="D14" s="12">
        <v>0</v>
      </c>
      <c r="J14" s="10">
        <f t="shared" si="1"/>
        <v>0</v>
      </c>
    </row>
    <row r="15" spans="1:10" x14ac:dyDescent="0.2">
      <c r="A15" s="4" t="s">
        <v>232</v>
      </c>
      <c r="B15" s="4" t="s">
        <v>96</v>
      </c>
      <c r="C15" s="17" t="str">
        <f t="shared" si="0"/>
        <v>CH</v>
      </c>
      <c r="D15" s="12">
        <v>0</v>
      </c>
      <c r="J15" s="10">
        <f t="shared" si="1"/>
        <v>0</v>
      </c>
    </row>
    <row r="16" spans="1:10" x14ac:dyDescent="0.2">
      <c r="A16" s="4" t="s">
        <v>233</v>
      </c>
      <c r="B16" s="4" t="s">
        <v>96</v>
      </c>
      <c r="C16" s="17" t="str">
        <f t="shared" si="0"/>
        <v>CH</v>
      </c>
      <c r="D16" s="12">
        <v>0</v>
      </c>
      <c r="J16" s="10">
        <f t="shared" si="1"/>
        <v>0</v>
      </c>
    </row>
    <row r="17" spans="1:10" x14ac:dyDescent="0.2">
      <c r="A17" s="4" t="s">
        <v>234</v>
      </c>
      <c r="B17" s="4" t="s">
        <v>97</v>
      </c>
      <c r="C17" s="17" t="str">
        <f t="shared" si="0"/>
        <v>CH</v>
      </c>
      <c r="D17" s="12">
        <v>0</v>
      </c>
      <c r="J17" s="10">
        <f t="shared" si="1"/>
        <v>0</v>
      </c>
    </row>
    <row r="18" spans="1:10" x14ac:dyDescent="0.2">
      <c r="A18" s="4" t="s">
        <v>235</v>
      </c>
      <c r="B18" s="4" t="s">
        <v>97</v>
      </c>
      <c r="C18" s="17" t="str">
        <f t="shared" si="0"/>
        <v>CH</v>
      </c>
      <c r="D18" s="12">
        <v>0</v>
      </c>
      <c r="J18" s="10">
        <f t="shared" si="1"/>
        <v>0</v>
      </c>
    </row>
    <row r="19" spans="1:10" x14ac:dyDescent="0.2">
      <c r="A19" s="4" t="s">
        <v>236</v>
      </c>
      <c r="B19" s="4" t="s">
        <v>97</v>
      </c>
      <c r="C19" s="17" t="str">
        <f t="shared" si="0"/>
        <v>CH</v>
      </c>
      <c r="D19" s="12">
        <v>0</v>
      </c>
      <c r="J19" s="10">
        <f t="shared" si="1"/>
        <v>0</v>
      </c>
    </row>
    <row r="20" spans="1:10" x14ac:dyDescent="0.2">
      <c r="A20" s="4" t="s">
        <v>237</v>
      </c>
      <c r="B20" s="4" t="s">
        <v>97</v>
      </c>
      <c r="C20" s="17" t="str">
        <f t="shared" si="0"/>
        <v>CH</v>
      </c>
      <c r="D20" s="12">
        <v>0</v>
      </c>
      <c r="J20" s="10">
        <f t="shared" si="1"/>
        <v>0</v>
      </c>
    </row>
    <row r="21" spans="1:10" x14ac:dyDescent="0.2">
      <c r="A21" s="4" t="s">
        <v>238</v>
      </c>
      <c r="B21" s="4" t="s">
        <v>98</v>
      </c>
      <c r="C21" s="17" t="str">
        <f t="shared" si="0"/>
        <v>CH</v>
      </c>
      <c r="D21" s="12">
        <v>0</v>
      </c>
      <c r="J21" s="10">
        <f t="shared" si="1"/>
        <v>0</v>
      </c>
    </row>
    <row r="22" spans="1:10" x14ac:dyDescent="0.2">
      <c r="A22" s="4" t="s">
        <v>239</v>
      </c>
      <c r="B22" s="4" t="s">
        <v>99</v>
      </c>
      <c r="C22" s="17" t="str">
        <f t="shared" si="0"/>
        <v>CH</v>
      </c>
      <c r="D22" s="12">
        <v>0</v>
      </c>
      <c r="J22" s="10">
        <f t="shared" si="1"/>
        <v>0</v>
      </c>
    </row>
    <row r="23" spans="1:10" x14ac:dyDescent="0.2">
      <c r="A23" s="4" t="s">
        <v>240</v>
      </c>
      <c r="B23" s="4" t="s">
        <v>99</v>
      </c>
      <c r="C23" s="17" t="str">
        <f t="shared" si="0"/>
        <v>CH</v>
      </c>
      <c r="D23" s="12">
        <v>0</v>
      </c>
      <c r="J23" s="10">
        <f t="shared" si="1"/>
        <v>0</v>
      </c>
    </row>
    <row r="24" spans="1:10" x14ac:dyDescent="0.2">
      <c r="A24" s="4" t="s">
        <v>241</v>
      </c>
      <c r="B24" s="4" t="s">
        <v>100</v>
      </c>
      <c r="C24" s="17" t="str">
        <f t="shared" si="0"/>
        <v>CH</v>
      </c>
      <c r="D24" s="12">
        <v>0</v>
      </c>
      <c r="J24" s="10">
        <f t="shared" si="1"/>
        <v>0</v>
      </c>
    </row>
    <row r="25" spans="1:10" x14ac:dyDescent="0.2">
      <c r="A25" s="4" t="s">
        <v>242</v>
      </c>
      <c r="B25" s="4" t="s">
        <v>101</v>
      </c>
      <c r="C25" s="17" t="str">
        <f t="shared" si="0"/>
        <v>CH</v>
      </c>
      <c r="D25" s="12">
        <v>0</v>
      </c>
      <c r="J25" s="10">
        <f t="shared" si="1"/>
        <v>0</v>
      </c>
    </row>
    <row r="26" spans="1:10" x14ac:dyDescent="0.2">
      <c r="A26" s="4" t="s">
        <v>243</v>
      </c>
      <c r="B26" s="4" t="s">
        <v>102</v>
      </c>
      <c r="C26" s="17" t="str">
        <f t="shared" si="0"/>
        <v>CH</v>
      </c>
      <c r="D26" s="12">
        <v>0</v>
      </c>
      <c r="J26" s="10">
        <f t="shared" si="1"/>
        <v>0</v>
      </c>
    </row>
    <row r="27" spans="1:10" x14ac:dyDescent="0.2">
      <c r="A27" s="4" t="s">
        <v>244</v>
      </c>
      <c r="B27" s="4" t="s">
        <v>103</v>
      </c>
      <c r="C27" s="17" t="str">
        <f t="shared" si="0"/>
        <v>CH</v>
      </c>
      <c r="D27" s="12">
        <v>0</v>
      </c>
      <c r="J27" s="10">
        <f t="shared" si="1"/>
        <v>0</v>
      </c>
    </row>
    <row r="28" spans="1:10" x14ac:dyDescent="0.2">
      <c r="A28" s="4" t="s">
        <v>245</v>
      </c>
      <c r="B28" s="4" t="s">
        <v>104</v>
      </c>
      <c r="C28" s="17" t="str">
        <f t="shared" si="0"/>
        <v>CH</v>
      </c>
      <c r="D28" s="12">
        <v>0</v>
      </c>
      <c r="J28" s="10">
        <f t="shared" si="1"/>
        <v>0</v>
      </c>
    </row>
    <row r="29" spans="1:10" x14ac:dyDescent="0.2">
      <c r="A29" s="4" t="s">
        <v>246</v>
      </c>
      <c r="B29" s="4" t="s">
        <v>105</v>
      </c>
      <c r="C29" s="17" t="str">
        <f t="shared" si="0"/>
        <v>CH</v>
      </c>
      <c r="D29" s="12">
        <v>0</v>
      </c>
      <c r="J29" s="10">
        <f t="shared" si="1"/>
        <v>0</v>
      </c>
    </row>
    <row r="30" spans="1:10" x14ac:dyDescent="0.2">
      <c r="A30" s="4" t="s">
        <v>247</v>
      </c>
      <c r="B30" s="4" t="s">
        <v>106</v>
      </c>
      <c r="C30" s="17" t="str">
        <f t="shared" si="0"/>
        <v>CH</v>
      </c>
      <c r="D30" s="12">
        <v>0</v>
      </c>
      <c r="J30" s="10">
        <f t="shared" si="1"/>
        <v>0</v>
      </c>
    </row>
    <row r="31" spans="1:10" x14ac:dyDescent="0.2">
      <c r="A31" s="4" t="s">
        <v>248</v>
      </c>
      <c r="B31" s="4" t="s">
        <v>107</v>
      </c>
      <c r="C31" s="17" t="str">
        <f t="shared" si="0"/>
        <v>CH</v>
      </c>
      <c r="D31" s="12">
        <v>0</v>
      </c>
      <c r="J31" s="10">
        <f t="shared" si="1"/>
        <v>0</v>
      </c>
    </row>
    <row r="32" spans="1:10" x14ac:dyDescent="0.2">
      <c r="A32" s="4" t="s">
        <v>249</v>
      </c>
      <c r="B32" s="4" t="s">
        <v>108</v>
      </c>
      <c r="C32" s="17" t="str">
        <f t="shared" si="0"/>
        <v>CH</v>
      </c>
      <c r="D32" s="12">
        <v>0</v>
      </c>
      <c r="J32" s="10">
        <f t="shared" si="1"/>
        <v>0</v>
      </c>
    </row>
    <row r="33" spans="1:10" x14ac:dyDescent="0.2">
      <c r="A33" s="4" t="s">
        <v>250</v>
      </c>
      <c r="B33" s="4" t="s">
        <v>108</v>
      </c>
      <c r="C33" s="17" t="str">
        <f t="shared" si="0"/>
        <v>CH</v>
      </c>
      <c r="D33" s="12">
        <v>0</v>
      </c>
      <c r="J33" s="10">
        <f t="shared" si="1"/>
        <v>0</v>
      </c>
    </row>
    <row r="34" spans="1:10" x14ac:dyDescent="0.2">
      <c r="A34" s="4" t="s">
        <v>251</v>
      </c>
      <c r="B34" s="4" t="s">
        <v>109</v>
      </c>
      <c r="C34" s="17" t="str">
        <f t="shared" si="0"/>
        <v>CH</v>
      </c>
      <c r="D34" s="12">
        <v>0</v>
      </c>
      <c r="J34" s="10">
        <f t="shared" si="1"/>
        <v>0</v>
      </c>
    </row>
    <row r="35" spans="1:10" x14ac:dyDescent="0.2">
      <c r="A35" s="4" t="s">
        <v>252</v>
      </c>
      <c r="B35" s="4" t="s">
        <v>110</v>
      </c>
      <c r="C35" s="17" t="str">
        <f t="shared" si="0"/>
        <v>CH</v>
      </c>
      <c r="D35" s="12">
        <v>0.36</v>
      </c>
      <c r="E35" s="12" t="s">
        <v>18</v>
      </c>
      <c r="F35" s="12" t="s">
        <v>27</v>
      </c>
      <c r="H35" s="18">
        <v>43678</v>
      </c>
      <c r="I35" s="18">
        <v>43830</v>
      </c>
      <c r="J35" s="10">
        <f t="shared" si="1"/>
        <v>0</v>
      </c>
    </row>
    <row r="36" spans="1:10" x14ac:dyDescent="0.2">
      <c r="A36" s="4" t="s">
        <v>252</v>
      </c>
      <c r="B36" s="4" t="s">
        <v>110</v>
      </c>
      <c r="C36" s="17" t="str">
        <f t="shared" si="0"/>
        <v>CH</v>
      </c>
      <c r="D36" s="12">
        <v>0.36</v>
      </c>
      <c r="E36" s="12" t="s">
        <v>18</v>
      </c>
      <c r="F36" s="12" t="s">
        <v>27</v>
      </c>
      <c r="H36" s="18">
        <v>44044</v>
      </c>
      <c r="I36" s="18">
        <v>44196</v>
      </c>
      <c r="J36" s="10">
        <f t="shared" si="1"/>
        <v>0</v>
      </c>
    </row>
    <row r="37" spans="1:10" x14ac:dyDescent="0.2">
      <c r="A37" s="4" t="s">
        <v>253</v>
      </c>
      <c r="B37" s="4" t="s">
        <v>110</v>
      </c>
      <c r="C37" s="17" t="str">
        <f t="shared" si="0"/>
        <v>CH</v>
      </c>
      <c r="D37" s="12">
        <v>0</v>
      </c>
      <c r="J37" s="10">
        <f t="shared" si="1"/>
        <v>0</v>
      </c>
    </row>
    <row r="38" spans="1:10" x14ac:dyDescent="0.2">
      <c r="A38" s="4" t="s">
        <v>254</v>
      </c>
      <c r="B38" s="4" t="s">
        <v>110</v>
      </c>
      <c r="C38" s="17" t="str">
        <f t="shared" si="0"/>
        <v>CH</v>
      </c>
      <c r="D38" s="12">
        <v>0</v>
      </c>
      <c r="J38" s="10">
        <f t="shared" si="1"/>
        <v>0</v>
      </c>
    </row>
    <row r="39" spans="1:10" x14ac:dyDescent="0.2">
      <c r="A39" s="4" t="s">
        <v>255</v>
      </c>
      <c r="B39" s="4" t="s">
        <v>111</v>
      </c>
      <c r="C39" s="17" t="str">
        <f t="shared" si="0"/>
        <v>CH</v>
      </c>
      <c r="D39" s="12">
        <v>0</v>
      </c>
      <c r="J39" s="10">
        <f t="shared" si="1"/>
        <v>0</v>
      </c>
    </row>
    <row r="40" spans="1:10" x14ac:dyDescent="0.2">
      <c r="A40" s="4" t="s">
        <v>256</v>
      </c>
      <c r="B40" s="4" t="s">
        <v>112</v>
      </c>
      <c r="C40" s="17" t="str">
        <f t="shared" si="0"/>
        <v>CH</v>
      </c>
      <c r="D40" s="12">
        <v>0</v>
      </c>
      <c r="J40" s="10">
        <f t="shared" si="1"/>
        <v>0</v>
      </c>
    </row>
    <row r="41" spans="1:10" x14ac:dyDescent="0.2">
      <c r="A41" s="4" t="s">
        <v>257</v>
      </c>
      <c r="B41" s="4" t="s">
        <v>113</v>
      </c>
      <c r="C41" s="17" t="str">
        <f t="shared" si="0"/>
        <v>CH</v>
      </c>
      <c r="D41" s="12">
        <v>0</v>
      </c>
      <c r="J41" s="10">
        <f t="shared" si="1"/>
        <v>0</v>
      </c>
    </row>
    <row r="42" spans="1:10" x14ac:dyDescent="0.2">
      <c r="A42" s="4" t="s">
        <v>258</v>
      </c>
      <c r="B42" s="4" t="s">
        <v>113</v>
      </c>
      <c r="C42" s="17" t="str">
        <f t="shared" si="0"/>
        <v>CH</v>
      </c>
      <c r="D42" s="12">
        <v>0</v>
      </c>
      <c r="J42" s="10">
        <f t="shared" si="1"/>
        <v>0</v>
      </c>
    </row>
    <row r="43" spans="1:10" x14ac:dyDescent="0.2">
      <c r="A43" s="4" t="s">
        <v>259</v>
      </c>
      <c r="B43" s="4" t="s">
        <v>114</v>
      </c>
      <c r="C43" s="17" t="str">
        <f t="shared" si="0"/>
        <v>CH</v>
      </c>
      <c r="D43" s="12">
        <v>0</v>
      </c>
      <c r="J43" s="10">
        <f t="shared" si="1"/>
        <v>0</v>
      </c>
    </row>
    <row r="44" spans="1:10" x14ac:dyDescent="0.2">
      <c r="A44" s="4" t="s">
        <v>260</v>
      </c>
      <c r="B44" s="4" t="s">
        <v>115</v>
      </c>
      <c r="C44" s="17" t="str">
        <f t="shared" si="0"/>
        <v>CH</v>
      </c>
      <c r="D44" s="12">
        <v>0</v>
      </c>
      <c r="J44" s="10">
        <f t="shared" si="1"/>
        <v>0</v>
      </c>
    </row>
    <row r="45" spans="1:10" x14ac:dyDescent="0.2">
      <c r="A45" s="4" t="s">
        <v>261</v>
      </c>
      <c r="B45" s="4" t="s">
        <v>116</v>
      </c>
      <c r="C45" s="17" t="str">
        <f t="shared" si="0"/>
        <v>CH</v>
      </c>
      <c r="D45" s="12">
        <v>0</v>
      </c>
      <c r="J45" s="10">
        <f t="shared" si="1"/>
        <v>0</v>
      </c>
    </row>
    <row r="46" spans="1:10" x14ac:dyDescent="0.2">
      <c r="A46" s="4" t="s">
        <v>262</v>
      </c>
      <c r="B46" s="4" t="s">
        <v>117</v>
      </c>
      <c r="C46" s="17" t="str">
        <f t="shared" si="0"/>
        <v>CH</v>
      </c>
      <c r="D46" s="12">
        <v>0</v>
      </c>
      <c r="J46" s="10">
        <f t="shared" si="1"/>
        <v>0</v>
      </c>
    </row>
    <row r="47" spans="1:10" x14ac:dyDescent="0.2">
      <c r="A47" s="4" t="s">
        <v>263</v>
      </c>
      <c r="B47" s="4" t="s">
        <v>117</v>
      </c>
      <c r="C47" s="17" t="str">
        <f t="shared" si="0"/>
        <v>CH</v>
      </c>
      <c r="D47" s="12">
        <v>0</v>
      </c>
      <c r="J47" s="10">
        <f t="shared" si="1"/>
        <v>0</v>
      </c>
    </row>
    <row r="48" spans="1:10" x14ac:dyDescent="0.2">
      <c r="A48" s="4" t="s">
        <v>264</v>
      </c>
      <c r="B48" s="4" t="s">
        <v>117</v>
      </c>
      <c r="C48" s="17" t="str">
        <f t="shared" si="0"/>
        <v>CH</v>
      </c>
      <c r="D48" s="12">
        <v>0</v>
      </c>
      <c r="J48" s="10">
        <f t="shared" si="1"/>
        <v>0</v>
      </c>
    </row>
    <row r="49" spans="1:10" x14ac:dyDescent="0.2">
      <c r="A49" s="4" t="s">
        <v>265</v>
      </c>
      <c r="B49" s="4" t="s">
        <v>117</v>
      </c>
      <c r="C49" s="17" t="str">
        <f t="shared" si="0"/>
        <v>CH</v>
      </c>
      <c r="D49" s="12">
        <v>0</v>
      </c>
      <c r="J49" s="10">
        <f t="shared" si="1"/>
        <v>0</v>
      </c>
    </row>
    <row r="50" spans="1:10" x14ac:dyDescent="0.2">
      <c r="A50" s="4" t="s">
        <v>266</v>
      </c>
      <c r="B50" s="4" t="s">
        <v>118</v>
      </c>
      <c r="C50" s="17" t="str">
        <f t="shared" si="0"/>
        <v>CH</v>
      </c>
      <c r="D50" s="12">
        <v>0</v>
      </c>
      <c r="J50" s="10">
        <f t="shared" si="1"/>
        <v>0</v>
      </c>
    </row>
    <row r="51" spans="1:10" x14ac:dyDescent="0.2">
      <c r="A51" s="4" t="s">
        <v>267</v>
      </c>
      <c r="B51" s="4" t="s">
        <v>118</v>
      </c>
      <c r="C51" s="17" t="str">
        <f t="shared" si="0"/>
        <v>CH</v>
      </c>
      <c r="D51" s="12">
        <v>0</v>
      </c>
      <c r="J51" s="10">
        <f t="shared" si="1"/>
        <v>0</v>
      </c>
    </row>
    <row r="52" spans="1:10" x14ac:dyDescent="0.2">
      <c r="A52" s="4" t="s">
        <v>268</v>
      </c>
      <c r="B52" s="4" t="s">
        <v>118</v>
      </c>
      <c r="C52" s="17" t="str">
        <f t="shared" si="0"/>
        <v>CH</v>
      </c>
      <c r="D52" s="12">
        <v>0</v>
      </c>
      <c r="J52" s="10">
        <f t="shared" si="1"/>
        <v>0</v>
      </c>
    </row>
    <row r="53" spans="1:10" x14ac:dyDescent="0.2">
      <c r="A53" s="4" t="s">
        <v>269</v>
      </c>
      <c r="B53" s="4" t="s">
        <v>118</v>
      </c>
      <c r="C53" s="17" t="str">
        <f t="shared" si="0"/>
        <v>CH</v>
      </c>
      <c r="D53" s="12">
        <v>0</v>
      </c>
      <c r="J53" s="10">
        <f t="shared" si="1"/>
        <v>0</v>
      </c>
    </row>
    <row r="54" spans="1:10" x14ac:dyDescent="0.2">
      <c r="A54" s="4" t="s">
        <v>270</v>
      </c>
      <c r="B54" s="4" t="s">
        <v>119</v>
      </c>
      <c r="C54" s="17" t="str">
        <f t="shared" si="0"/>
        <v>CH</v>
      </c>
      <c r="D54" s="12">
        <v>0</v>
      </c>
      <c r="J54" s="10">
        <f t="shared" si="1"/>
        <v>0</v>
      </c>
    </row>
    <row r="55" spans="1:10" x14ac:dyDescent="0.2">
      <c r="A55" s="4" t="s">
        <v>271</v>
      </c>
      <c r="B55" s="4" t="s">
        <v>120</v>
      </c>
      <c r="C55" s="17" t="str">
        <f t="shared" si="0"/>
        <v>CH</v>
      </c>
      <c r="D55" s="12">
        <v>0</v>
      </c>
      <c r="J55" s="10">
        <f t="shared" si="1"/>
        <v>0</v>
      </c>
    </row>
    <row r="56" spans="1:10" x14ac:dyDescent="0.2">
      <c r="A56" s="4" t="s">
        <v>272</v>
      </c>
      <c r="B56" s="4" t="s">
        <v>151</v>
      </c>
      <c r="C56" s="17" t="str">
        <f t="shared" si="0"/>
        <v>CH</v>
      </c>
      <c r="D56" s="12">
        <v>0</v>
      </c>
      <c r="J56" s="10">
        <f t="shared" si="1"/>
        <v>0</v>
      </c>
    </row>
    <row r="57" spans="1:10" x14ac:dyDescent="0.2">
      <c r="A57" s="4" t="s">
        <v>273</v>
      </c>
      <c r="B57" s="4" t="s">
        <v>151</v>
      </c>
      <c r="C57" s="17" t="str">
        <f t="shared" si="0"/>
        <v>CH</v>
      </c>
      <c r="D57" s="12">
        <v>0</v>
      </c>
      <c r="J57" s="10">
        <f t="shared" si="1"/>
        <v>0</v>
      </c>
    </row>
    <row r="58" spans="1:10" x14ac:dyDescent="0.2">
      <c r="A58" s="4" t="s">
        <v>274</v>
      </c>
      <c r="B58" s="4" t="s">
        <v>151</v>
      </c>
      <c r="C58" s="17" t="str">
        <f t="shared" si="0"/>
        <v>CH</v>
      </c>
      <c r="D58" s="12">
        <v>0</v>
      </c>
      <c r="J58" s="10">
        <f t="shared" si="1"/>
        <v>0</v>
      </c>
    </row>
    <row r="59" spans="1:10" x14ac:dyDescent="0.2">
      <c r="A59" s="4" t="s">
        <v>275</v>
      </c>
      <c r="B59" s="4" t="s">
        <v>151</v>
      </c>
      <c r="C59" s="17" t="str">
        <f t="shared" si="0"/>
        <v>CH</v>
      </c>
      <c r="D59" s="12">
        <v>0</v>
      </c>
      <c r="J59" s="10">
        <f t="shared" si="1"/>
        <v>0</v>
      </c>
    </row>
    <row r="60" spans="1:10" x14ac:dyDescent="0.2">
      <c r="A60" s="4" t="s">
        <v>276</v>
      </c>
      <c r="B60" s="4" t="s">
        <v>151</v>
      </c>
      <c r="C60" s="17" t="str">
        <f t="shared" si="0"/>
        <v>CH</v>
      </c>
      <c r="D60" s="12">
        <v>0</v>
      </c>
      <c r="J60" s="10">
        <f t="shared" si="1"/>
        <v>0</v>
      </c>
    </row>
    <row r="61" spans="1:10" x14ac:dyDescent="0.2">
      <c r="A61" s="4" t="s">
        <v>277</v>
      </c>
      <c r="B61" s="4" t="s">
        <v>151</v>
      </c>
      <c r="C61" s="17" t="str">
        <f t="shared" si="0"/>
        <v>CH</v>
      </c>
      <c r="D61" s="12">
        <v>0</v>
      </c>
      <c r="J61" s="10">
        <f t="shared" si="1"/>
        <v>0</v>
      </c>
    </row>
    <row r="62" spans="1:10" x14ac:dyDescent="0.2">
      <c r="A62" s="4" t="s">
        <v>278</v>
      </c>
      <c r="B62" s="4" t="s">
        <v>151</v>
      </c>
      <c r="C62" s="17" t="str">
        <f t="shared" si="0"/>
        <v>CH</v>
      </c>
      <c r="D62" s="12">
        <v>0</v>
      </c>
      <c r="J62" s="10">
        <f t="shared" si="1"/>
        <v>0</v>
      </c>
    </row>
    <row r="63" spans="1:10" x14ac:dyDescent="0.2">
      <c r="A63" s="4" t="s">
        <v>279</v>
      </c>
      <c r="B63" s="4" t="s">
        <v>151</v>
      </c>
      <c r="C63" s="17" t="str">
        <f t="shared" si="0"/>
        <v>CH</v>
      </c>
      <c r="D63" s="12">
        <v>0</v>
      </c>
      <c r="J63" s="10">
        <f t="shared" si="1"/>
        <v>0</v>
      </c>
    </row>
    <row r="64" spans="1:10" x14ac:dyDescent="0.2">
      <c r="A64" s="4" t="s">
        <v>280</v>
      </c>
      <c r="B64" s="4" t="s">
        <v>151</v>
      </c>
      <c r="C64" s="17" t="str">
        <f t="shared" si="0"/>
        <v>CH</v>
      </c>
      <c r="D64" s="12">
        <v>0</v>
      </c>
      <c r="J64" s="10">
        <f t="shared" si="1"/>
        <v>0</v>
      </c>
    </row>
    <row r="65" spans="1:10" x14ac:dyDescent="0.2">
      <c r="A65" s="4" t="s">
        <v>281</v>
      </c>
      <c r="B65" s="4" t="s">
        <v>152</v>
      </c>
      <c r="C65" s="17" t="str">
        <f t="shared" si="0"/>
        <v>CH</v>
      </c>
      <c r="D65" s="12">
        <v>0</v>
      </c>
      <c r="J65" s="10">
        <f t="shared" si="1"/>
        <v>0</v>
      </c>
    </row>
    <row r="66" spans="1:10" x14ac:dyDescent="0.2">
      <c r="A66" s="4" t="s">
        <v>282</v>
      </c>
      <c r="B66" s="4" t="s">
        <v>152</v>
      </c>
      <c r="C66" s="17" t="str">
        <f t="shared" ref="C66:C129" si="2">VLOOKUP(B66, quota_order_numbers2, 6, FALSE)</f>
        <v>CH</v>
      </c>
      <c r="D66" s="12">
        <v>0</v>
      </c>
      <c r="J66" s="10">
        <f t="shared" ref="J66:J129" si="3">VLOOKUP(B66, quota_order_numbers2, 2, FALSE)</f>
        <v>0</v>
      </c>
    </row>
    <row r="67" spans="1:10" x14ac:dyDescent="0.2">
      <c r="A67" s="4" t="s">
        <v>283</v>
      </c>
      <c r="B67" s="4" t="s">
        <v>153</v>
      </c>
      <c r="C67" s="17" t="str">
        <f t="shared" si="2"/>
        <v>CH</v>
      </c>
      <c r="D67" s="12">
        <v>0</v>
      </c>
      <c r="J67" s="10">
        <f t="shared" si="3"/>
        <v>0</v>
      </c>
    </row>
    <row r="68" spans="1:10" x14ac:dyDescent="0.2">
      <c r="A68" s="4" t="s">
        <v>284</v>
      </c>
      <c r="B68" s="4" t="s">
        <v>153</v>
      </c>
      <c r="C68" s="17" t="str">
        <f t="shared" si="2"/>
        <v>CH</v>
      </c>
      <c r="D68" s="12">
        <v>0</v>
      </c>
      <c r="J68" s="10">
        <f t="shared" si="3"/>
        <v>0</v>
      </c>
    </row>
    <row r="69" spans="1:10" x14ac:dyDescent="0.2">
      <c r="A69" s="4" t="s">
        <v>285</v>
      </c>
      <c r="B69" s="4" t="s">
        <v>153</v>
      </c>
      <c r="C69" s="17" t="str">
        <f t="shared" si="2"/>
        <v>CH</v>
      </c>
      <c r="D69" s="12">
        <v>0</v>
      </c>
      <c r="J69" s="10">
        <f t="shared" si="3"/>
        <v>0</v>
      </c>
    </row>
    <row r="70" spans="1:10" x14ac:dyDescent="0.2">
      <c r="A70" s="4" t="s">
        <v>286</v>
      </c>
      <c r="B70" s="4" t="s">
        <v>153</v>
      </c>
      <c r="C70" s="17" t="str">
        <f t="shared" si="2"/>
        <v>CH</v>
      </c>
      <c r="D70" s="12">
        <v>0</v>
      </c>
      <c r="J70" s="10">
        <f t="shared" si="3"/>
        <v>0</v>
      </c>
    </row>
    <row r="71" spans="1:10" x14ac:dyDescent="0.2">
      <c r="A71" s="4" t="s">
        <v>287</v>
      </c>
      <c r="B71" s="4" t="s">
        <v>153</v>
      </c>
      <c r="C71" s="17" t="str">
        <f t="shared" si="2"/>
        <v>CH</v>
      </c>
      <c r="D71" s="12">
        <v>0</v>
      </c>
      <c r="J71" s="10">
        <f t="shared" si="3"/>
        <v>0</v>
      </c>
    </row>
    <row r="72" spans="1:10" x14ac:dyDescent="0.2">
      <c r="A72" s="4" t="s">
        <v>288</v>
      </c>
      <c r="B72" s="4" t="s">
        <v>153</v>
      </c>
      <c r="C72" s="17" t="str">
        <f t="shared" si="2"/>
        <v>CH</v>
      </c>
      <c r="D72" s="12">
        <v>0</v>
      </c>
      <c r="J72" s="10">
        <f t="shared" si="3"/>
        <v>0</v>
      </c>
    </row>
    <row r="73" spans="1:10" x14ac:dyDescent="0.2">
      <c r="A73" s="4" t="s">
        <v>289</v>
      </c>
      <c r="B73" s="4" t="s">
        <v>153</v>
      </c>
      <c r="C73" s="17" t="str">
        <f t="shared" si="2"/>
        <v>CH</v>
      </c>
      <c r="D73" s="12">
        <v>0</v>
      </c>
      <c r="J73" s="10">
        <f t="shared" si="3"/>
        <v>0</v>
      </c>
    </row>
    <row r="74" spans="1:10" x14ac:dyDescent="0.2">
      <c r="A74" s="4" t="s">
        <v>290</v>
      </c>
      <c r="B74" s="4" t="s">
        <v>153</v>
      </c>
      <c r="C74" s="17" t="str">
        <f t="shared" si="2"/>
        <v>CH</v>
      </c>
      <c r="D74" s="12">
        <v>0</v>
      </c>
      <c r="J74" s="10">
        <f t="shared" si="3"/>
        <v>0</v>
      </c>
    </row>
    <row r="75" spans="1:10" x14ac:dyDescent="0.2">
      <c r="A75" s="4" t="s">
        <v>291</v>
      </c>
      <c r="B75" s="4" t="s">
        <v>153</v>
      </c>
      <c r="C75" s="17" t="str">
        <f t="shared" si="2"/>
        <v>CH</v>
      </c>
      <c r="D75" s="12">
        <v>0</v>
      </c>
      <c r="J75" s="10">
        <f t="shared" si="3"/>
        <v>0</v>
      </c>
    </row>
    <row r="76" spans="1:10" x14ac:dyDescent="0.2">
      <c r="A76" s="4" t="s">
        <v>292</v>
      </c>
      <c r="B76" s="4" t="s">
        <v>153</v>
      </c>
      <c r="C76" s="17" t="str">
        <f t="shared" si="2"/>
        <v>CH</v>
      </c>
      <c r="D76" s="12">
        <v>0</v>
      </c>
      <c r="J76" s="10">
        <f t="shared" si="3"/>
        <v>0</v>
      </c>
    </row>
    <row r="77" spans="1:10" x14ac:dyDescent="0.2">
      <c r="A77" s="4" t="s">
        <v>294</v>
      </c>
      <c r="B77" s="4" t="s">
        <v>156</v>
      </c>
      <c r="C77" s="17" t="str">
        <f t="shared" si="2"/>
        <v>CL</v>
      </c>
      <c r="D77" s="12">
        <v>0</v>
      </c>
      <c r="J77" s="10" t="str">
        <f t="shared" si="3"/>
        <v>Y</v>
      </c>
    </row>
    <row r="78" spans="1:10" x14ac:dyDescent="0.2">
      <c r="A78" s="4" t="s">
        <v>295</v>
      </c>
      <c r="B78" s="4" t="s">
        <v>156</v>
      </c>
      <c r="C78" s="17" t="str">
        <f t="shared" si="2"/>
        <v>CL</v>
      </c>
      <c r="D78" s="12">
        <v>0</v>
      </c>
      <c r="J78" s="10" t="str">
        <f t="shared" si="3"/>
        <v>Y</v>
      </c>
    </row>
    <row r="79" spans="1:10" x14ac:dyDescent="0.2">
      <c r="A79" s="4" t="s">
        <v>296</v>
      </c>
      <c r="B79" s="4" t="s">
        <v>156</v>
      </c>
      <c r="C79" s="17" t="str">
        <f t="shared" si="2"/>
        <v>CL</v>
      </c>
      <c r="D79" s="12">
        <v>0</v>
      </c>
      <c r="J79" s="10" t="str">
        <f t="shared" si="3"/>
        <v>Y</v>
      </c>
    </row>
    <row r="80" spans="1:10" x14ac:dyDescent="0.2">
      <c r="A80" s="4" t="s">
        <v>297</v>
      </c>
      <c r="B80" s="4" t="s">
        <v>156</v>
      </c>
      <c r="C80" s="17" t="str">
        <f t="shared" si="2"/>
        <v>CL</v>
      </c>
      <c r="D80" s="12">
        <v>0</v>
      </c>
      <c r="J80" s="10" t="str">
        <f t="shared" si="3"/>
        <v>Y</v>
      </c>
    </row>
    <row r="81" spans="1:10" x14ac:dyDescent="0.2">
      <c r="A81" s="4" t="s">
        <v>298</v>
      </c>
      <c r="B81" s="4" t="s">
        <v>156</v>
      </c>
      <c r="C81" s="17" t="str">
        <f t="shared" si="2"/>
        <v>CL</v>
      </c>
      <c r="D81" s="12">
        <v>0</v>
      </c>
      <c r="J81" s="10" t="str">
        <f t="shared" si="3"/>
        <v>Y</v>
      </c>
    </row>
    <row r="82" spans="1:10" x14ac:dyDescent="0.2">
      <c r="A82" s="4" t="s">
        <v>299</v>
      </c>
      <c r="B82" s="4" t="s">
        <v>156</v>
      </c>
      <c r="C82" s="17" t="str">
        <f t="shared" si="2"/>
        <v>CL</v>
      </c>
      <c r="D82" s="12">
        <v>0</v>
      </c>
      <c r="J82" s="10" t="str">
        <f t="shared" si="3"/>
        <v>Y</v>
      </c>
    </row>
    <row r="83" spans="1:10" x14ac:dyDescent="0.2">
      <c r="A83" s="4" t="s">
        <v>300</v>
      </c>
      <c r="B83" s="4" t="s">
        <v>156</v>
      </c>
      <c r="C83" s="17" t="str">
        <f t="shared" si="2"/>
        <v>CL</v>
      </c>
      <c r="D83" s="12">
        <v>0</v>
      </c>
      <c r="J83" s="10" t="str">
        <f t="shared" si="3"/>
        <v>Y</v>
      </c>
    </row>
    <row r="84" spans="1:10" x14ac:dyDescent="0.2">
      <c r="A84" s="4" t="s">
        <v>301</v>
      </c>
      <c r="B84" s="4" t="s">
        <v>156</v>
      </c>
      <c r="C84" s="17" t="str">
        <f t="shared" si="2"/>
        <v>CL</v>
      </c>
      <c r="D84" s="12">
        <v>0</v>
      </c>
      <c r="J84" s="10" t="str">
        <f t="shared" si="3"/>
        <v>Y</v>
      </c>
    </row>
    <row r="85" spans="1:10" x14ac:dyDescent="0.2">
      <c r="A85" s="4" t="s">
        <v>302</v>
      </c>
      <c r="B85" s="4" t="s">
        <v>156</v>
      </c>
      <c r="C85" s="17" t="str">
        <f t="shared" si="2"/>
        <v>CL</v>
      </c>
      <c r="D85" s="12">
        <v>0</v>
      </c>
      <c r="J85" s="10" t="str">
        <f t="shared" si="3"/>
        <v>Y</v>
      </c>
    </row>
    <row r="86" spans="1:10" x14ac:dyDescent="0.2">
      <c r="A86" s="4" t="s">
        <v>303</v>
      </c>
      <c r="B86" s="4" t="s">
        <v>156</v>
      </c>
      <c r="C86" s="17" t="str">
        <f t="shared" si="2"/>
        <v>CL</v>
      </c>
      <c r="D86" s="12">
        <v>0</v>
      </c>
      <c r="J86" s="10" t="str">
        <f t="shared" si="3"/>
        <v>Y</v>
      </c>
    </row>
    <row r="87" spans="1:10" x14ac:dyDescent="0.2">
      <c r="A87" s="4" t="s">
        <v>304</v>
      </c>
      <c r="B87" s="4" t="s">
        <v>156</v>
      </c>
      <c r="C87" s="17" t="str">
        <f t="shared" si="2"/>
        <v>CL</v>
      </c>
      <c r="D87" s="12">
        <v>0</v>
      </c>
      <c r="J87" s="10" t="str">
        <f t="shared" si="3"/>
        <v>Y</v>
      </c>
    </row>
    <row r="88" spans="1:10" x14ac:dyDescent="0.2">
      <c r="A88" s="4" t="s">
        <v>305</v>
      </c>
      <c r="B88" s="4" t="s">
        <v>156</v>
      </c>
      <c r="C88" s="17" t="str">
        <f t="shared" si="2"/>
        <v>CL</v>
      </c>
      <c r="D88" s="12">
        <v>0</v>
      </c>
      <c r="J88" s="10" t="str">
        <f t="shared" si="3"/>
        <v>Y</v>
      </c>
    </row>
    <row r="89" spans="1:10" x14ac:dyDescent="0.2">
      <c r="A89" s="4" t="s">
        <v>306</v>
      </c>
      <c r="B89" s="4" t="s">
        <v>156</v>
      </c>
      <c r="C89" s="17" t="str">
        <f t="shared" si="2"/>
        <v>CL</v>
      </c>
      <c r="D89" s="12">
        <v>0</v>
      </c>
      <c r="J89" s="10" t="str">
        <f t="shared" si="3"/>
        <v>Y</v>
      </c>
    </row>
    <row r="90" spans="1:10" x14ac:dyDescent="0.2">
      <c r="A90" s="4" t="s">
        <v>307</v>
      </c>
      <c r="B90" s="4" t="s">
        <v>156</v>
      </c>
      <c r="C90" s="17" t="str">
        <f t="shared" si="2"/>
        <v>CL</v>
      </c>
      <c r="D90" s="12">
        <v>0</v>
      </c>
      <c r="J90" s="10" t="str">
        <f t="shared" si="3"/>
        <v>Y</v>
      </c>
    </row>
    <row r="91" spans="1:10" x14ac:dyDescent="0.2">
      <c r="A91" s="4" t="s">
        <v>308</v>
      </c>
      <c r="B91" s="4" t="s">
        <v>156</v>
      </c>
      <c r="C91" s="17" t="str">
        <f t="shared" si="2"/>
        <v>CL</v>
      </c>
      <c r="D91" s="12">
        <v>0</v>
      </c>
      <c r="J91" s="10" t="str">
        <f t="shared" si="3"/>
        <v>Y</v>
      </c>
    </row>
    <row r="92" spans="1:10" x14ac:dyDescent="0.2">
      <c r="A92" s="4" t="s">
        <v>309</v>
      </c>
      <c r="B92" s="4" t="s">
        <v>156</v>
      </c>
      <c r="C92" s="17" t="str">
        <f t="shared" si="2"/>
        <v>CL</v>
      </c>
      <c r="D92" s="12">
        <v>0</v>
      </c>
      <c r="J92" s="10" t="str">
        <f t="shared" si="3"/>
        <v>Y</v>
      </c>
    </row>
    <row r="93" spans="1:10" x14ac:dyDescent="0.2">
      <c r="A93" s="4" t="s">
        <v>310</v>
      </c>
      <c r="B93" s="4" t="s">
        <v>156</v>
      </c>
      <c r="C93" s="17" t="str">
        <f t="shared" si="2"/>
        <v>CL</v>
      </c>
      <c r="D93" s="12">
        <v>0</v>
      </c>
      <c r="J93" s="10" t="str">
        <f t="shared" si="3"/>
        <v>Y</v>
      </c>
    </row>
    <row r="94" spans="1:10" x14ac:dyDescent="0.2">
      <c r="A94" s="4" t="s">
        <v>311</v>
      </c>
      <c r="B94" s="4" t="s">
        <v>156</v>
      </c>
      <c r="C94" s="17" t="str">
        <f t="shared" si="2"/>
        <v>CL</v>
      </c>
      <c r="D94" s="12">
        <v>0</v>
      </c>
      <c r="J94" s="10" t="str">
        <f t="shared" si="3"/>
        <v>Y</v>
      </c>
    </row>
    <row r="95" spans="1:10" x14ac:dyDescent="0.2">
      <c r="A95" s="4" t="s">
        <v>312</v>
      </c>
      <c r="B95" s="4" t="s">
        <v>156</v>
      </c>
      <c r="C95" s="17" t="str">
        <f t="shared" si="2"/>
        <v>CL</v>
      </c>
      <c r="D95" s="12">
        <v>0</v>
      </c>
      <c r="J95" s="10" t="str">
        <f t="shared" si="3"/>
        <v>Y</v>
      </c>
    </row>
    <row r="96" spans="1:10" x14ac:dyDescent="0.2">
      <c r="A96" s="4" t="s">
        <v>313</v>
      </c>
      <c r="B96" s="4" t="s">
        <v>156</v>
      </c>
      <c r="C96" s="17" t="str">
        <f t="shared" si="2"/>
        <v>CL</v>
      </c>
      <c r="D96" s="12">
        <v>0</v>
      </c>
      <c r="J96" s="10" t="str">
        <f t="shared" si="3"/>
        <v>Y</v>
      </c>
    </row>
    <row r="97" spans="1:10" x14ac:dyDescent="0.2">
      <c r="A97" s="4" t="s">
        <v>314</v>
      </c>
      <c r="B97" s="4" t="s">
        <v>160</v>
      </c>
      <c r="C97" s="17" t="str">
        <f t="shared" si="2"/>
        <v>CL</v>
      </c>
      <c r="D97" s="12">
        <v>0</v>
      </c>
      <c r="J97" s="10" t="str">
        <f t="shared" si="3"/>
        <v>Y</v>
      </c>
    </row>
    <row r="98" spans="1:10" x14ac:dyDescent="0.2">
      <c r="A98" s="4" t="s">
        <v>315</v>
      </c>
      <c r="B98" s="4" t="s">
        <v>160</v>
      </c>
      <c r="C98" s="17" t="str">
        <f t="shared" si="2"/>
        <v>CL</v>
      </c>
      <c r="D98" s="12">
        <v>0</v>
      </c>
      <c r="J98" s="10" t="str">
        <f t="shared" si="3"/>
        <v>Y</v>
      </c>
    </row>
    <row r="99" spans="1:10" x14ac:dyDescent="0.2">
      <c r="A99" s="4" t="s">
        <v>316</v>
      </c>
      <c r="B99" s="4" t="s">
        <v>160</v>
      </c>
      <c r="C99" s="17" t="str">
        <f t="shared" si="2"/>
        <v>CL</v>
      </c>
      <c r="D99" s="12">
        <v>0</v>
      </c>
      <c r="J99" s="10" t="str">
        <f t="shared" si="3"/>
        <v>Y</v>
      </c>
    </row>
    <row r="100" spans="1:10" x14ac:dyDescent="0.2">
      <c r="A100" s="4" t="s">
        <v>317</v>
      </c>
      <c r="B100" s="4" t="s">
        <v>160</v>
      </c>
      <c r="C100" s="17" t="str">
        <f t="shared" si="2"/>
        <v>CL</v>
      </c>
      <c r="D100" s="12">
        <v>0</v>
      </c>
      <c r="J100" s="10" t="str">
        <f t="shared" si="3"/>
        <v>Y</v>
      </c>
    </row>
    <row r="101" spans="1:10" x14ac:dyDescent="0.2">
      <c r="A101" s="4" t="s">
        <v>318</v>
      </c>
      <c r="B101" s="4" t="s">
        <v>160</v>
      </c>
      <c r="C101" s="17" t="str">
        <f t="shared" si="2"/>
        <v>CL</v>
      </c>
      <c r="D101" s="12">
        <v>0</v>
      </c>
      <c r="J101" s="10" t="str">
        <f t="shared" si="3"/>
        <v>Y</v>
      </c>
    </row>
    <row r="102" spans="1:10" x14ac:dyDescent="0.2">
      <c r="A102" s="4" t="s">
        <v>319</v>
      </c>
      <c r="B102" s="4" t="s">
        <v>160</v>
      </c>
      <c r="C102" s="17" t="str">
        <f t="shared" si="2"/>
        <v>CL</v>
      </c>
      <c r="D102" s="12">
        <v>0</v>
      </c>
      <c r="J102" s="10" t="str">
        <f t="shared" si="3"/>
        <v>Y</v>
      </c>
    </row>
    <row r="103" spans="1:10" x14ac:dyDescent="0.2">
      <c r="A103" s="4" t="s">
        <v>320</v>
      </c>
      <c r="B103" s="4" t="s">
        <v>160</v>
      </c>
      <c r="C103" s="17" t="str">
        <f t="shared" si="2"/>
        <v>CL</v>
      </c>
      <c r="D103" s="12">
        <v>0</v>
      </c>
      <c r="J103" s="10" t="str">
        <f t="shared" si="3"/>
        <v>Y</v>
      </c>
    </row>
    <row r="104" spans="1:10" x14ac:dyDescent="0.2">
      <c r="A104" s="4" t="s">
        <v>321</v>
      </c>
      <c r="B104" s="4" t="s">
        <v>160</v>
      </c>
      <c r="C104" s="17" t="str">
        <f t="shared" si="2"/>
        <v>CL</v>
      </c>
      <c r="D104" s="12">
        <v>0</v>
      </c>
      <c r="J104" s="10" t="str">
        <f t="shared" si="3"/>
        <v>Y</v>
      </c>
    </row>
    <row r="105" spans="1:10" x14ac:dyDescent="0.2">
      <c r="A105" s="4" t="s">
        <v>322</v>
      </c>
      <c r="B105" s="4" t="s">
        <v>160</v>
      </c>
      <c r="C105" s="17" t="str">
        <f t="shared" si="2"/>
        <v>CL</v>
      </c>
      <c r="D105" s="12">
        <v>0</v>
      </c>
      <c r="J105" s="10" t="str">
        <f t="shared" si="3"/>
        <v>Y</v>
      </c>
    </row>
    <row r="106" spans="1:10" x14ac:dyDescent="0.2">
      <c r="A106" s="4" t="s">
        <v>323</v>
      </c>
      <c r="B106" s="4" t="s">
        <v>160</v>
      </c>
      <c r="C106" s="17" t="str">
        <f t="shared" si="2"/>
        <v>CL</v>
      </c>
      <c r="D106" s="12">
        <v>0</v>
      </c>
      <c r="J106" s="10" t="str">
        <f t="shared" si="3"/>
        <v>Y</v>
      </c>
    </row>
    <row r="107" spans="1:10" x14ac:dyDescent="0.2">
      <c r="A107" s="4" t="s">
        <v>324</v>
      </c>
      <c r="B107" s="4" t="s">
        <v>160</v>
      </c>
      <c r="C107" s="17" t="str">
        <f t="shared" si="2"/>
        <v>CL</v>
      </c>
      <c r="D107" s="12">
        <v>0</v>
      </c>
      <c r="J107" s="10" t="str">
        <f t="shared" si="3"/>
        <v>Y</v>
      </c>
    </row>
    <row r="108" spans="1:10" x14ac:dyDescent="0.2">
      <c r="A108" s="4" t="s">
        <v>325</v>
      </c>
      <c r="B108" s="4" t="s">
        <v>160</v>
      </c>
      <c r="C108" s="17" t="str">
        <f t="shared" si="2"/>
        <v>CL</v>
      </c>
      <c r="D108" s="12">
        <v>0</v>
      </c>
      <c r="J108" s="10" t="str">
        <f t="shared" si="3"/>
        <v>Y</v>
      </c>
    </row>
    <row r="109" spans="1:10" x14ac:dyDescent="0.2">
      <c r="A109" s="4" t="s">
        <v>326</v>
      </c>
      <c r="B109" s="4" t="s">
        <v>160</v>
      </c>
      <c r="C109" s="17" t="str">
        <f t="shared" si="2"/>
        <v>CL</v>
      </c>
      <c r="D109" s="12">
        <v>0</v>
      </c>
      <c r="J109" s="10" t="str">
        <f t="shared" si="3"/>
        <v>Y</v>
      </c>
    </row>
    <row r="110" spans="1:10" x14ac:dyDescent="0.2">
      <c r="A110" s="4" t="s">
        <v>327</v>
      </c>
      <c r="B110" s="4" t="s">
        <v>160</v>
      </c>
      <c r="C110" s="17" t="str">
        <f t="shared" si="2"/>
        <v>CL</v>
      </c>
      <c r="D110" s="12">
        <v>0</v>
      </c>
      <c r="J110" s="10" t="str">
        <f t="shared" si="3"/>
        <v>Y</v>
      </c>
    </row>
    <row r="111" spans="1:10" x14ac:dyDescent="0.2">
      <c r="A111" s="4" t="s">
        <v>328</v>
      </c>
      <c r="B111" s="4" t="s">
        <v>160</v>
      </c>
      <c r="C111" s="17" t="str">
        <f t="shared" si="2"/>
        <v>CL</v>
      </c>
      <c r="D111" s="12">
        <v>0</v>
      </c>
      <c r="J111" s="10" t="str">
        <f t="shared" si="3"/>
        <v>Y</v>
      </c>
    </row>
    <row r="112" spans="1:10" x14ac:dyDescent="0.2">
      <c r="A112" s="4" t="s">
        <v>329</v>
      </c>
      <c r="B112" s="4" t="s">
        <v>160</v>
      </c>
      <c r="C112" s="17" t="str">
        <f t="shared" si="2"/>
        <v>CL</v>
      </c>
      <c r="D112" s="12">
        <v>0</v>
      </c>
      <c r="J112" s="10" t="str">
        <f t="shared" si="3"/>
        <v>Y</v>
      </c>
    </row>
    <row r="113" spans="1:10" x14ac:dyDescent="0.2">
      <c r="A113" s="4" t="s">
        <v>330</v>
      </c>
      <c r="B113" s="4" t="s">
        <v>162</v>
      </c>
      <c r="C113" s="17" t="str">
        <f t="shared" si="2"/>
        <v>CL</v>
      </c>
      <c r="D113" s="12">
        <v>0</v>
      </c>
      <c r="J113" s="10" t="str">
        <f t="shared" si="3"/>
        <v>Y</v>
      </c>
    </row>
    <row r="114" spans="1:10" x14ac:dyDescent="0.2">
      <c r="A114" s="4" t="s">
        <v>331</v>
      </c>
      <c r="B114" s="4" t="s">
        <v>162</v>
      </c>
      <c r="C114" s="17" t="str">
        <f t="shared" si="2"/>
        <v>CL</v>
      </c>
      <c r="D114" s="12">
        <v>0</v>
      </c>
      <c r="J114" s="10" t="str">
        <f t="shared" si="3"/>
        <v>Y</v>
      </c>
    </row>
    <row r="115" spans="1:10" x14ac:dyDescent="0.2">
      <c r="A115" s="4" t="s">
        <v>332</v>
      </c>
      <c r="B115" s="4" t="s">
        <v>162</v>
      </c>
      <c r="C115" s="17" t="str">
        <f t="shared" si="2"/>
        <v>CL</v>
      </c>
      <c r="D115" s="12">
        <v>0</v>
      </c>
      <c r="J115" s="10" t="str">
        <f t="shared" si="3"/>
        <v>Y</v>
      </c>
    </row>
    <row r="116" spans="1:10" x14ac:dyDescent="0.2">
      <c r="A116" s="4" t="s">
        <v>333</v>
      </c>
      <c r="B116" s="4" t="s">
        <v>162</v>
      </c>
      <c r="C116" s="17" t="str">
        <f t="shared" si="2"/>
        <v>CL</v>
      </c>
      <c r="D116" s="12">
        <v>0</v>
      </c>
      <c r="J116" s="10" t="str">
        <f t="shared" si="3"/>
        <v>Y</v>
      </c>
    </row>
    <row r="117" spans="1:10" x14ac:dyDescent="0.2">
      <c r="A117" s="4" t="s">
        <v>334</v>
      </c>
      <c r="B117" s="4" t="s">
        <v>162</v>
      </c>
      <c r="C117" s="17" t="str">
        <f t="shared" si="2"/>
        <v>CL</v>
      </c>
      <c r="D117" s="12">
        <v>0</v>
      </c>
      <c r="J117" s="10" t="str">
        <f t="shared" si="3"/>
        <v>Y</v>
      </c>
    </row>
    <row r="118" spans="1:10" x14ac:dyDescent="0.2">
      <c r="A118" s="4" t="s">
        <v>335</v>
      </c>
      <c r="B118" s="4" t="s">
        <v>162</v>
      </c>
      <c r="C118" s="17" t="str">
        <f t="shared" si="2"/>
        <v>CL</v>
      </c>
      <c r="D118" s="12">
        <v>0</v>
      </c>
      <c r="J118" s="10" t="str">
        <f t="shared" si="3"/>
        <v>Y</v>
      </c>
    </row>
    <row r="119" spans="1:10" x14ac:dyDescent="0.2">
      <c r="A119" s="4" t="s">
        <v>336</v>
      </c>
      <c r="B119" s="4" t="s">
        <v>162</v>
      </c>
      <c r="C119" s="17" t="str">
        <f t="shared" si="2"/>
        <v>CL</v>
      </c>
      <c r="D119" s="12">
        <v>0</v>
      </c>
      <c r="J119" s="10" t="str">
        <f t="shared" si="3"/>
        <v>Y</v>
      </c>
    </row>
    <row r="120" spans="1:10" x14ac:dyDescent="0.2">
      <c r="A120" s="4" t="s">
        <v>337</v>
      </c>
      <c r="B120" s="4" t="s">
        <v>162</v>
      </c>
      <c r="C120" s="17" t="str">
        <f t="shared" si="2"/>
        <v>CL</v>
      </c>
      <c r="D120" s="12">
        <v>0</v>
      </c>
      <c r="J120" s="10" t="str">
        <f t="shared" si="3"/>
        <v>Y</v>
      </c>
    </row>
    <row r="121" spans="1:10" x14ac:dyDescent="0.2">
      <c r="A121" s="4" t="s">
        <v>338</v>
      </c>
      <c r="B121" s="4" t="s">
        <v>162</v>
      </c>
      <c r="C121" s="17" t="str">
        <f t="shared" si="2"/>
        <v>CL</v>
      </c>
      <c r="D121" s="12">
        <v>0</v>
      </c>
      <c r="J121" s="10" t="str">
        <f t="shared" si="3"/>
        <v>Y</v>
      </c>
    </row>
    <row r="122" spans="1:10" x14ac:dyDescent="0.2">
      <c r="A122" s="4" t="s">
        <v>339</v>
      </c>
      <c r="B122" s="4" t="s">
        <v>162</v>
      </c>
      <c r="C122" s="17" t="str">
        <f t="shared" si="2"/>
        <v>CL</v>
      </c>
      <c r="D122" s="12">
        <v>0</v>
      </c>
      <c r="J122" s="10" t="str">
        <f t="shared" si="3"/>
        <v>Y</v>
      </c>
    </row>
    <row r="123" spans="1:10" x14ac:dyDescent="0.2">
      <c r="A123" s="4" t="s">
        <v>340</v>
      </c>
      <c r="B123" s="4" t="s">
        <v>162</v>
      </c>
      <c r="C123" s="17" t="str">
        <f t="shared" si="2"/>
        <v>CL</v>
      </c>
      <c r="D123" s="12">
        <v>0</v>
      </c>
      <c r="J123" s="10" t="str">
        <f t="shared" si="3"/>
        <v>Y</v>
      </c>
    </row>
    <row r="124" spans="1:10" x14ac:dyDescent="0.2">
      <c r="A124" s="4" t="s">
        <v>341</v>
      </c>
      <c r="B124" s="4" t="s">
        <v>162</v>
      </c>
      <c r="C124" s="17" t="str">
        <f t="shared" si="2"/>
        <v>CL</v>
      </c>
      <c r="D124" s="12">
        <v>0</v>
      </c>
      <c r="J124" s="10" t="str">
        <f t="shared" si="3"/>
        <v>Y</v>
      </c>
    </row>
    <row r="125" spans="1:10" x14ac:dyDescent="0.2">
      <c r="A125" s="4" t="s">
        <v>342</v>
      </c>
      <c r="B125" s="4" t="s">
        <v>162</v>
      </c>
      <c r="C125" s="17" t="str">
        <f t="shared" si="2"/>
        <v>CL</v>
      </c>
      <c r="D125" s="12">
        <v>0</v>
      </c>
      <c r="J125" s="10" t="str">
        <f t="shared" si="3"/>
        <v>Y</v>
      </c>
    </row>
    <row r="126" spans="1:10" x14ac:dyDescent="0.2">
      <c r="A126" s="4" t="s">
        <v>343</v>
      </c>
      <c r="B126" s="4" t="s">
        <v>162</v>
      </c>
      <c r="C126" s="17" t="str">
        <f t="shared" si="2"/>
        <v>CL</v>
      </c>
      <c r="D126" s="12">
        <v>0</v>
      </c>
      <c r="J126" s="10" t="str">
        <f t="shared" si="3"/>
        <v>Y</v>
      </c>
    </row>
    <row r="127" spans="1:10" x14ac:dyDescent="0.2">
      <c r="A127" s="4" t="s">
        <v>344</v>
      </c>
      <c r="B127" s="4" t="s">
        <v>162</v>
      </c>
      <c r="C127" s="17" t="str">
        <f t="shared" si="2"/>
        <v>CL</v>
      </c>
      <c r="D127" s="12">
        <v>0</v>
      </c>
      <c r="J127" s="10" t="str">
        <f t="shared" si="3"/>
        <v>Y</v>
      </c>
    </row>
    <row r="128" spans="1:10" x14ac:dyDescent="0.2">
      <c r="A128" s="4" t="s">
        <v>345</v>
      </c>
      <c r="B128" s="4" t="s">
        <v>162</v>
      </c>
      <c r="C128" s="17" t="str">
        <f t="shared" si="2"/>
        <v>CL</v>
      </c>
      <c r="D128" s="12">
        <v>0</v>
      </c>
      <c r="J128" s="10" t="str">
        <f t="shared" si="3"/>
        <v>Y</v>
      </c>
    </row>
    <row r="129" spans="1:10" x14ac:dyDescent="0.2">
      <c r="A129" s="4" t="s">
        <v>346</v>
      </c>
      <c r="B129" s="4" t="s">
        <v>162</v>
      </c>
      <c r="C129" s="17" t="str">
        <f t="shared" si="2"/>
        <v>CL</v>
      </c>
      <c r="D129" s="12">
        <v>0</v>
      </c>
      <c r="J129" s="10" t="str">
        <f t="shared" si="3"/>
        <v>Y</v>
      </c>
    </row>
    <row r="130" spans="1:10" x14ac:dyDescent="0.2">
      <c r="A130" s="4" t="s">
        <v>347</v>
      </c>
      <c r="B130" s="4" t="s">
        <v>162</v>
      </c>
      <c r="C130" s="17" t="str">
        <f t="shared" ref="C130:C193" si="4">VLOOKUP(B130, quota_order_numbers2, 6, FALSE)</f>
        <v>CL</v>
      </c>
      <c r="D130" s="12">
        <v>0</v>
      </c>
      <c r="J130" s="10" t="str">
        <f t="shared" ref="J130:J193" si="5">VLOOKUP(B130, quota_order_numbers2, 2, FALSE)</f>
        <v>Y</v>
      </c>
    </row>
    <row r="131" spans="1:10" x14ac:dyDescent="0.2">
      <c r="A131" s="4" t="s">
        <v>348</v>
      </c>
      <c r="B131" s="4" t="s">
        <v>162</v>
      </c>
      <c r="C131" s="17" t="str">
        <f t="shared" si="4"/>
        <v>CL</v>
      </c>
      <c r="D131" s="12">
        <v>0</v>
      </c>
      <c r="J131" s="10" t="str">
        <f t="shared" si="5"/>
        <v>Y</v>
      </c>
    </row>
    <row r="132" spans="1:10" x14ac:dyDescent="0.2">
      <c r="A132" s="4" t="s">
        <v>349</v>
      </c>
      <c r="B132" s="4" t="s">
        <v>162</v>
      </c>
      <c r="C132" s="17" t="str">
        <f t="shared" si="4"/>
        <v>CL</v>
      </c>
      <c r="D132" s="12">
        <v>0</v>
      </c>
      <c r="J132" s="10" t="str">
        <f t="shared" si="5"/>
        <v>Y</v>
      </c>
    </row>
    <row r="133" spans="1:10" x14ac:dyDescent="0.2">
      <c r="A133" s="4" t="s">
        <v>350</v>
      </c>
      <c r="B133" s="4" t="s">
        <v>162</v>
      </c>
      <c r="C133" s="17" t="str">
        <f t="shared" si="4"/>
        <v>CL</v>
      </c>
      <c r="D133" s="12">
        <v>0</v>
      </c>
      <c r="J133" s="10" t="str">
        <f t="shared" si="5"/>
        <v>Y</v>
      </c>
    </row>
    <row r="134" spans="1:10" x14ac:dyDescent="0.2">
      <c r="A134" s="4" t="s">
        <v>351</v>
      </c>
      <c r="B134" s="4" t="s">
        <v>162</v>
      </c>
      <c r="C134" s="17" t="str">
        <f t="shared" si="4"/>
        <v>CL</v>
      </c>
      <c r="D134" s="12">
        <v>0</v>
      </c>
      <c r="J134" s="10" t="str">
        <f t="shared" si="5"/>
        <v>Y</v>
      </c>
    </row>
    <row r="135" spans="1:10" x14ac:dyDescent="0.2">
      <c r="A135" s="4" t="s">
        <v>352</v>
      </c>
      <c r="B135" s="4" t="s">
        <v>162</v>
      </c>
      <c r="C135" s="17" t="str">
        <f t="shared" si="4"/>
        <v>CL</v>
      </c>
      <c r="D135" s="12">
        <v>0</v>
      </c>
      <c r="J135" s="10" t="str">
        <f t="shared" si="5"/>
        <v>Y</v>
      </c>
    </row>
    <row r="136" spans="1:10" x14ac:dyDescent="0.2">
      <c r="A136" s="4" t="s">
        <v>353</v>
      </c>
      <c r="B136" s="4" t="s">
        <v>162</v>
      </c>
      <c r="C136" s="17" t="str">
        <f t="shared" si="4"/>
        <v>CL</v>
      </c>
      <c r="D136" s="12">
        <v>0</v>
      </c>
      <c r="J136" s="10" t="str">
        <f t="shared" si="5"/>
        <v>Y</v>
      </c>
    </row>
    <row r="137" spans="1:10" x14ac:dyDescent="0.2">
      <c r="A137" s="4" t="s">
        <v>354</v>
      </c>
      <c r="B137" s="4" t="s">
        <v>162</v>
      </c>
      <c r="C137" s="17" t="str">
        <f t="shared" si="4"/>
        <v>CL</v>
      </c>
      <c r="D137" s="12">
        <v>0</v>
      </c>
      <c r="J137" s="10" t="str">
        <f t="shared" si="5"/>
        <v>Y</v>
      </c>
    </row>
    <row r="138" spans="1:10" x14ac:dyDescent="0.2">
      <c r="A138" s="4" t="s">
        <v>355</v>
      </c>
      <c r="B138" s="4" t="s">
        <v>162</v>
      </c>
      <c r="C138" s="17" t="str">
        <f t="shared" si="4"/>
        <v>CL</v>
      </c>
      <c r="D138" s="12">
        <v>0</v>
      </c>
      <c r="J138" s="10" t="str">
        <f t="shared" si="5"/>
        <v>Y</v>
      </c>
    </row>
    <row r="139" spans="1:10" x14ac:dyDescent="0.2">
      <c r="A139" s="4" t="s">
        <v>356</v>
      </c>
      <c r="B139" s="4" t="s">
        <v>162</v>
      </c>
      <c r="C139" s="17" t="str">
        <f t="shared" si="4"/>
        <v>CL</v>
      </c>
      <c r="D139" s="12">
        <v>0</v>
      </c>
      <c r="J139" s="10" t="str">
        <f t="shared" si="5"/>
        <v>Y</v>
      </c>
    </row>
    <row r="140" spans="1:10" x14ac:dyDescent="0.2">
      <c r="A140" s="4" t="s">
        <v>357</v>
      </c>
      <c r="B140" s="4" t="s">
        <v>162</v>
      </c>
      <c r="C140" s="17" t="str">
        <f t="shared" si="4"/>
        <v>CL</v>
      </c>
      <c r="D140" s="12">
        <v>0</v>
      </c>
      <c r="J140" s="10" t="str">
        <f t="shared" si="5"/>
        <v>Y</v>
      </c>
    </row>
    <row r="141" spans="1:10" x14ac:dyDescent="0.2">
      <c r="A141" s="4" t="s">
        <v>358</v>
      </c>
      <c r="B141" s="4" t="s">
        <v>162</v>
      </c>
      <c r="C141" s="17" t="str">
        <f t="shared" si="4"/>
        <v>CL</v>
      </c>
      <c r="D141" s="12">
        <v>0</v>
      </c>
      <c r="J141" s="10" t="str">
        <f t="shared" si="5"/>
        <v>Y</v>
      </c>
    </row>
    <row r="142" spans="1:10" x14ac:dyDescent="0.2">
      <c r="A142" s="4" t="s">
        <v>359</v>
      </c>
      <c r="B142" s="4" t="s">
        <v>162</v>
      </c>
      <c r="C142" s="17" t="str">
        <f t="shared" si="4"/>
        <v>CL</v>
      </c>
      <c r="D142" s="12">
        <v>0</v>
      </c>
      <c r="J142" s="10" t="str">
        <f t="shared" si="5"/>
        <v>Y</v>
      </c>
    </row>
    <row r="143" spans="1:10" x14ac:dyDescent="0.2">
      <c r="A143" s="4" t="s">
        <v>360</v>
      </c>
      <c r="B143" s="4" t="s">
        <v>162</v>
      </c>
      <c r="C143" s="17" t="str">
        <f t="shared" si="4"/>
        <v>CL</v>
      </c>
      <c r="D143" s="12">
        <v>0</v>
      </c>
      <c r="J143" s="10" t="str">
        <f t="shared" si="5"/>
        <v>Y</v>
      </c>
    </row>
    <row r="144" spans="1:10" x14ac:dyDescent="0.2">
      <c r="A144" s="4" t="s">
        <v>361</v>
      </c>
      <c r="B144" s="4" t="s">
        <v>162</v>
      </c>
      <c r="C144" s="17" t="str">
        <f t="shared" si="4"/>
        <v>CL</v>
      </c>
      <c r="D144" s="12">
        <v>0</v>
      </c>
      <c r="J144" s="10" t="str">
        <f t="shared" si="5"/>
        <v>Y</v>
      </c>
    </row>
    <row r="145" spans="1:10" x14ac:dyDescent="0.2">
      <c r="A145" s="4" t="s">
        <v>362</v>
      </c>
      <c r="B145" s="4" t="s">
        <v>162</v>
      </c>
      <c r="C145" s="17" t="str">
        <f t="shared" si="4"/>
        <v>CL</v>
      </c>
      <c r="D145" s="12">
        <v>0</v>
      </c>
      <c r="J145" s="10" t="str">
        <f t="shared" si="5"/>
        <v>Y</v>
      </c>
    </row>
    <row r="146" spans="1:10" x14ac:dyDescent="0.2">
      <c r="A146" s="4" t="s">
        <v>363</v>
      </c>
      <c r="B146" s="4" t="s">
        <v>162</v>
      </c>
      <c r="C146" s="17" t="str">
        <f t="shared" si="4"/>
        <v>CL</v>
      </c>
      <c r="D146" s="12">
        <v>0</v>
      </c>
      <c r="J146" s="10" t="str">
        <f t="shared" si="5"/>
        <v>Y</v>
      </c>
    </row>
    <row r="147" spans="1:10" x14ac:dyDescent="0.2">
      <c r="A147" s="4" t="s">
        <v>364</v>
      </c>
      <c r="B147" s="4" t="s">
        <v>162</v>
      </c>
      <c r="C147" s="17" t="str">
        <f t="shared" si="4"/>
        <v>CL</v>
      </c>
      <c r="D147" s="12">
        <v>0</v>
      </c>
      <c r="J147" s="10" t="str">
        <f t="shared" si="5"/>
        <v>Y</v>
      </c>
    </row>
    <row r="148" spans="1:10" x14ac:dyDescent="0.2">
      <c r="A148" s="4" t="s">
        <v>365</v>
      </c>
      <c r="B148" s="4" t="s">
        <v>162</v>
      </c>
      <c r="C148" s="17" t="str">
        <f t="shared" si="4"/>
        <v>CL</v>
      </c>
      <c r="D148" s="12">
        <v>0</v>
      </c>
      <c r="J148" s="10" t="str">
        <f t="shared" si="5"/>
        <v>Y</v>
      </c>
    </row>
    <row r="149" spans="1:10" x14ac:dyDescent="0.2">
      <c r="A149" s="4" t="s">
        <v>366</v>
      </c>
      <c r="B149" s="4" t="s">
        <v>162</v>
      </c>
      <c r="C149" s="17" t="str">
        <f t="shared" si="4"/>
        <v>CL</v>
      </c>
      <c r="D149" s="12">
        <v>0</v>
      </c>
      <c r="J149" s="10" t="str">
        <f t="shared" si="5"/>
        <v>Y</v>
      </c>
    </row>
    <row r="150" spans="1:10" x14ac:dyDescent="0.2">
      <c r="A150" s="4" t="s">
        <v>367</v>
      </c>
      <c r="B150" s="4" t="s">
        <v>162</v>
      </c>
      <c r="C150" s="17" t="str">
        <f t="shared" si="4"/>
        <v>CL</v>
      </c>
      <c r="D150" s="12">
        <v>0</v>
      </c>
      <c r="J150" s="10" t="str">
        <f t="shared" si="5"/>
        <v>Y</v>
      </c>
    </row>
    <row r="151" spans="1:10" x14ac:dyDescent="0.2">
      <c r="A151" s="4" t="s">
        <v>368</v>
      </c>
      <c r="B151" s="4" t="s">
        <v>162</v>
      </c>
      <c r="C151" s="17" t="str">
        <f t="shared" si="4"/>
        <v>CL</v>
      </c>
      <c r="D151" s="12">
        <v>0</v>
      </c>
      <c r="J151" s="10" t="str">
        <f t="shared" si="5"/>
        <v>Y</v>
      </c>
    </row>
    <row r="152" spans="1:10" x14ac:dyDescent="0.2">
      <c r="A152" s="4" t="s">
        <v>369</v>
      </c>
      <c r="B152" s="4" t="s">
        <v>162</v>
      </c>
      <c r="C152" s="17" t="str">
        <f t="shared" si="4"/>
        <v>CL</v>
      </c>
      <c r="D152" s="12">
        <v>0</v>
      </c>
      <c r="J152" s="10" t="str">
        <f t="shared" si="5"/>
        <v>Y</v>
      </c>
    </row>
    <row r="153" spans="1:10" x14ac:dyDescent="0.2">
      <c r="A153" s="4" t="s">
        <v>370</v>
      </c>
      <c r="B153" s="4" t="s">
        <v>162</v>
      </c>
      <c r="C153" s="17" t="str">
        <f t="shared" si="4"/>
        <v>CL</v>
      </c>
      <c r="D153" s="12">
        <v>0</v>
      </c>
      <c r="J153" s="10" t="str">
        <f t="shared" si="5"/>
        <v>Y</v>
      </c>
    </row>
    <row r="154" spans="1:10" x14ac:dyDescent="0.2">
      <c r="A154" s="4" t="s">
        <v>371</v>
      </c>
      <c r="B154" s="4" t="s">
        <v>162</v>
      </c>
      <c r="C154" s="17" t="str">
        <f t="shared" si="4"/>
        <v>CL</v>
      </c>
      <c r="D154" s="12">
        <v>0</v>
      </c>
      <c r="J154" s="10" t="str">
        <f t="shared" si="5"/>
        <v>Y</v>
      </c>
    </row>
    <row r="155" spans="1:10" x14ac:dyDescent="0.2">
      <c r="A155" s="4" t="s">
        <v>372</v>
      </c>
      <c r="B155" s="4" t="s">
        <v>162</v>
      </c>
      <c r="C155" s="17" t="str">
        <f t="shared" si="4"/>
        <v>CL</v>
      </c>
      <c r="D155" s="12">
        <v>0</v>
      </c>
      <c r="J155" s="10" t="str">
        <f t="shared" si="5"/>
        <v>Y</v>
      </c>
    </row>
    <row r="156" spans="1:10" x14ac:dyDescent="0.2">
      <c r="A156" s="4" t="s">
        <v>373</v>
      </c>
      <c r="B156" s="4" t="s">
        <v>162</v>
      </c>
      <c r="C156" s="17" t="str">
        <f t="shared" si="4"/>
        <v>CL</v>
      </c>
      <c r="D156" s="12">
        <v>0</v>
      </c>
      <c r="J156" s="10" t="str">
        <f t="shared" si="5"/>
        <v>Y</v>
      </c>
    </row>
    <row r="157" spans="1:10" x14ac:dyDescent="0.2">
      <c r="A157" s="4" t="s">
        <v>374</v>
      </c>
      <c r="B157" s="4" t="s">
        <v>162</v>
      </c>
      <c r="C157" s="17" t="str">
        <f t="shared" si="4"/>
        <v>CL</v>
      </c>
      <c r="D157" s="12">
        <v>0</v>
      </c>
      <c r="J157" s="10" t="str">
        <f t="shared" si="5"/>
        <v>Y</v>
      </c>
    </row>
    <row r="158" spans="1:10" x14ac:dyDescent="0.2">
      <c r="A158" s="4" t="s">
        <v>375</v>
      </c>
      <c r="B158" s="4" t="s">
        <v>162</v>
      </c>
      <c r="C158" s="17" t="str">
        <f t="shared" si="4"/>
        <v>CL</v>
      </c>
      <c r="D158" s="12">
        <v>0</v>
      </c>
      <c r="J158" s="10" t="str">
        <f t="shared" si="5"/>
        <v>Y</v>
      </c>
    </row>
    <row r="159" spans="1:10" x14ac:dyDescent="0.2">
      <c r="A159" s="4" t="s">
        <v>376</v>
      </c>
      <c r="B159" s="4" t="s">
        <v>162</v>
      </c>
      <c r="C159" s="17" t="str">
        <f t="shared" si="4"/>
        <v>CL</v>
      </c>
      <c r="D159" s="12">
        <v>0</v>
      </c>
      <c r="J159" s="10" t="str">
        <f t="shared" si="5"/>
        <v>Y</v>
      </c>
    </row>
    <row r="160" spans="1:10" x14ac:dyDescent="0.2">
      <c r="A160" s="4" t="s">
        <v>377</v>
      </c>
      <c r="B160" s="4" t="s">
        <v>162</v>
      </c>
      <c r="C160" s="17" t="str">
        <f t="shared" si="4"/>
        <v>CL</v>
      </c>
      <c r="D160" s="12">
        <v>0</v>
      </c>
      <c r="J160" s="10" t="str">
        <f t="shared" si="5"/>
        <v>Y</v>
      </c>
    </row>
    <row r="161" spans="1:10" x14ac:dyDescent="0.2">
      <c r="A161" s="4" t="s">
        <v>378</v>
      </c>
      <c r="B161" s="4" t="s">
        <v>162</v>
      </c>
      <c r="C161" s="17" t="str">
        <f t="shared" si="4"/>
        <v>CL</v>
      </c>
      <c r="D161" s="12">
        <v>0</v>
      </c>
      <c r="J161" s="10" t="str">
        <f t="shared" si="5"/>
        <v>Y</v>
      </c>
    </row>
    <row r="162" spans="1:10" x14ac:dyDescent="0.2">
      <c r="A162" s="4" t="s">
        <v>379</v>
      </c>
      <c r="B162" s="4" t="s">
        <v>162</v>
      </c>
      <c r="C162" s="17" t="str">
        <f t="shared" si="4"/>
        <v>CL</v>
      </c>
      <c r="D162" s="12">
        <v>0</v>
      </c>
      <c r="J162" s="10" t="str">
        <f t="shared" si="5"/>
        <v>Y</v>
      </c>
    </row>
    <row r="163" spans="1:10" x14ac:dyDescent="0.2">
      <c r="A163" s="4" t="s">
        <v>380</v>
      </c>
      <c r="B163" s="4" t="s">
        <v>162</v>
      </c>
      <c r="C163" s="17" t="str">
        <f t="shared" si="4"/>
        <v>CL</v>
      </c>
      <c r="D163" s="12">
        <v>0</v>
      </c>
      <c r="J163" s="10" t="str">
        <f t="shared" si="5"/>
        <v>Y</v>
      </c>
    </row>
    <row r="164" spans="1:10" x14ac:dyDescent="0.2">
      <c r="A164" s="4" t="s">
        <v>381</v>
      </c>
      <c r="B164" s="4" t="s">
        <v>162</v>
      </c>
      <c r="C164" s="17" t="str">
        <f t="shared" si="4"/>
        <v>CL</v>
      </c>
      <c r="D164" s="12">
        <v>0</v>
      </c>
      <c r="J164" s="10" t="str">
        <f t="shared" si="5"/>
        <v>Y</v>
      </c>
    </row>
    <row r="165" spans="1:10" x14ac:dyDescent="0.2">
      <c r="A165" s="4" t="s">
        <v>382</v>
      </c>
      <c r="B165" s="4" t="s">
        <v>162</v>
      </c>
      <c r="C165" s="17" t="str">
        <f t="shared" si="4"/>
        <v>CL</v>
      </c>
      <c r="D165" s="12">
        <v>0</v>
      </c>
      <c r="J165" s="10" t="str">
        <f t="shared" si="5"/>
        <v>Y</v>
      </c>
    </row>
    <row r="166" spans="1:10" x14ac:dyDescent="0.2">
      <c r="A166" s="4" t="s">
        <v>383</v>
      </c>
      <c r="B166" s="4" t="s">
        <v>162</v>
      </c>
      <c r="C166" s="17" t="str">
        <f t="shared" si="4"/>
        <v>CL</v>
      </c>
      <c r="D166" s="12">
        <v>0</v>
      </c>
      <c r="J166" s="10" t="str">
        <f t="shared" si="5"/>
        <v>Y</v>
      </c>
    </row>
    <row r="167" spans="1:10" x14ac:dyDescent="0.2">
      <c r="A167" s="4" t="s">
        <v>384</v>
      </c>
      <c r="B167" s="4" t="s">
        <v>162</v>
      </c>
      <c r="C167" s="17" t="str">
        <f t="shared" si="4"/>
        <v>CL</v>
      </c>
      <c r="D167" s="12">
        <v>0</v>
      </c>
      <c r="J167" s="10" t="str">
        <f t="shared" si="5"/>
        <v>Y</v>
      </c>
    </row>
    <row r="168" spans="1:10" x14ac:dyDescent="0.2">
      <c r="A168" s="4" t="s">
        <v>385</v>
      </c>
      <c r="B168" s="4" t="s">
        <v>162</v>
      </c>
      <c r="C168" s="17" t="str">
        <f t="shared" si="4"/>
        <v>CL</v>
      </c>
      <c r="D168" s="12">
        <v>0</v>
      </c>
      <c r="J168" s="10" t="str">
        <f t="shared" si="5"/>
        <v>Y</v>
      </c>
    </row>
    <row r="169" spans="1:10" x14ac:dyDescent="0.2">
      <c r="A169" s="4" t="s">
        <v>386</v>
      </c>
      <c r="B169" s="4" t="s">
        <v>162</v>
      </c>
      <c r="C169" s="17" t="str">
        <f t="shared" si="4"/>
        <v>CL</v>
      </c>
      <c r="D169" s="12">
        <v>0</v>
      </c>
      <c r="J169" s="10" t="str">
        <f t="shared" si="5"/>
        <v>Y</v>
      </c>
    </row>
    <row r="170" spans="1:10" x14ac:dyDescent="0.2">
      <c r="A170" s="4" t="s">
        <v>387</v>
      </c>
      <c r="B170" s="4" t="s">
        <v>162</v>
      </c>
      <c r="C170" s="17" t="str">
        <f t="shared" si="4"/>
        <v>CL</v>
      </c>
      <c r="D170" s="12">
        <v>0</v>
      </c>
      <c r="J170" s="10" t="str">
        <f t="shared" si="5"/>
        <v>Y</v>
      </c>
    </row>
    <row r="171" spans="1:10" x14ac:dyDescent="0.2">
      <c r="A171" s="4" t="s">
        <v>388</v>
      </c>
      <c r="B171" s="4" t="s">
        <v>162</v>
      </c>
      <c r="C171" s="17" t="str">
        <f t="shared" si="4"/>
        <v>CL</v>
      </c>
      <c r="D171" s="12">
        <v>0</v>
      </c>
      <c r="J171" s="10" t="str">
        <f t="shared" si="5"/>
        <v>Y</v>
      </c>
    </row>
    <row r="172" spans="1:10" x14ac:dyDescent="0.2">
      <c r="A172" s="4" t="s">
        <v>389</v>
      </c>
      <c r="B172" s="4" t="s">
        <v>164</v>
      </c>
      <c r="C172" s="17" t="str">
        <f t="shared" si="4"/>
        <v>CL</v>
      </c>
      <c r="D172" s="12">
        <v>0</v>
      </c>
      <c r="J172" s="10" t="str">
        <f t="shared" si="5"/>
        <v>Y</v>
      </c>
    </row>
    <row r="173" spans="1:10" x14ac:dyDescent="0.2">
      <c r="A173" s="4" t="s">
        <v>390</v>
      </c>
      <c r="B173" s="4" t="s">
        <v>164</v>
      </c>
      <c r="C173" s="17" t="str">
        <f t="shared" si="4"/>
        <v>CL</v>
      </c>
      <c r="D173" s="12">
        <v>0</v>
      </c>
      <c r="J173" s="10" t="str">
        <f t="shared" si="5"/>
        <v>Y</v>
      </c>
    </row>
    <row r="174" spans="1:10" x14ac:dyDescent="0.2">
      <c r="A174" s="4" t="s">
        <v>391</v>
      </c>
      <c r="B174" s="4" t="s">
        <v>164</v>
      </c>
      <c r="C174" s="17" t="str">
        <f t="shared" si="4"/>
        <v>CL</v>
      </c>
      <c r="D174" s="12">
        <v>0</v>
      </c>
      <c r="J174" s="10" t="str">
        <f t="shared" si="5"/>
        <v>Y</v>
      </c>
    </row>
    <row r="175" spans="1:10" x14ac:dyDescent="0.2">
      <c r="A175" s="4" t="s">
        <v>392</v>
      </c>
      <c r="B175" s="4" t="s">
        <v>164</v>
      </c>
      <c r="C175" s="17" t="str">
        <f t="shared" si="4"/>
        <v>CL</v>
      </c>
      <c r="D175" s="12">
        <v>0</v>
      </c>
      <c r="J175" s="10" t="str">
        <f t="shared" si="5"/>
        <v>Y</v>
      </c>
    </row>
    <row r="176" spans="1:10" x14ac:dyDescent="0.2">
      <c r="A176" s="4" t="s">
        <v>393</v>
      </c>
      <c r="B176" s="4" t="s">
        <v>164</v>
      </c>
      <c r="C176" s="17" t="str">
        <f t="shared" si="4"/>
        <v>CL</v>
      </c>
      <c r="D176" s="12">
        <v>0</v>
      </c>
      <c r="J176" s="10" t="str">
        <f t="shared" si="5"/>
        <v>Y</v>
      </c>
    </row>
    <row r="177" spans="1:10" x14ac:dyDescent="0.2">
      <c r="A177" s="4" t="s">
        <v>394</v>
      </c>
      <c r="B177" s="4" t="s">
        <v>164</v>
      </c>
      <c r="C177" s="17" t="str">
        <f t="shared" si="4"/>
        <v>CL</v>
      </c>
      <c r="D177" s="12">
        <v>0</v>
      </c>
      <c r="J177" s="10" t="str">
        <f t="shared" si="5"/>
        <v>Y</v>
      </c>
    </row>
    <row r="178" spans="1:10" x14ac:dyDescent="0.2">
      <c r="A178" s="4" t="s">
        <v>395</v>
      </c>
      <c r="B178" s="4" t="s">
        <v>164</v>
      </c>
      <c r="C178" s="17" t="str">
        <f t="shared" si="4"/>
        <v>CL</v>
      </c>
      <c r="D178" s="12">
        <v>0</v>
      </c>
      <c r="J178" s="10" t="str">
        <f t="shared" si="5"/>
        <v>Y</v>
      </c>
    </row>
    <row r="179" spans="1:10" x14ac:dyDescent="0.2">
      <c r="A179" s="4" t="s">
        <v>396</v>
      </c>
      <c r="B179" s="4" t="s">
        <v>164</v>
      </c>
      <c r="C179" s="17" t="str">
        <f t="shared" si="4"/>
        <v>CL</v>
      </c>
      <c r="D179" s="12">
        <v>0</v>
      </c>
      <c r="J179" s="10" t="str">
        <f t="shared" si="5"/>
        <v>Y</v>
      </c>
    </row>
    <row r="180" spans="1:10" x14ac:dyDescent="0.2">
      <c r="A180" s="4" t="s">
        <v>397</v>
      </c>
      <c r="B180" s="4" t="s">
        <v>164</v>
      </c>
      <c r="C180" s="17" t="str">
        <f t="shared" si="4"/>
        <v>CL</v>
      </c>
      <c r="D180" s="12">
        <v>0</v>
      </c>
      <c r="J180" s="10" t="str">
        <f t="shared" si="5"/>
        <v>Y</v>
      </c>
    </row>
    <row r="181" spans="1:10" x14ac:dyDescent="0.2">
      <c r="A181" s="4" t="s">
        <v>398</v>
      </c>
      <c r="B181" s="4" t="s">
        <v>164</v>
      </c>
      <c r="C181" s="17" t="str">
        <f t="shared" si="4"/>
        <v>CL</v>
      </c>
      <c r="D181" s="12">
        <v>0</v>
      </c>
      <c r="J181" s="10" t="str">
        <f t="shared" si="5"/>
        <v>Y</v>
      </c>
    </row>
    <row r="182" spans="1:10" x14ac:dyDescent="0.2">
      <c r="A182" s="4" t="s">
        <v>399</v>
      </c>
      <c r="B182" s="4" t="s">
        <v>164</v>
      </c>
      <c r="C182" s="17" t="str">
        <f t="shared" si="4"/>
        <v>CL</v>
      </c>
      <c r="D182" s="12">
        <v>0</v>
      </c>
      <c r="J182" s="10" t="str">
        <f t="shared" si="5"/>
        <v>Y</v>
      </c>
    </row>
    <row r="183" spans="1:10" x14ac:dyDescent="0.2">
      <c r="A183" s="4" t="s">
        <v>400</v>
      </c>
      <c r="B183" s="4" t="s">
        <v>164</v>
      </c>
      <c r="C183" s="17" t="str">
        <f t="shared" si="4"/>
        <v>CL</v>
      </c>
      <c r="D183" s="12">
        <v>0</v>
      </c>
      <c r="J183" s="10" t="str">
        <f t="shared" si="5"/>
        <v>Y</v>
      </c>
    </row>
    <row r="184" spans="1:10" x14ac:dyDescent="0.2">
      <c r="A184" s="4" t="s">
        <v>401</v>
      </c>
      <c r="B184" s="4" t="s">
        <v>164</v>
      </c>
      <c r="C184" s="17" t="str">
        <f t="shared" si="4"/>
        <v>CL</v>
      </c>
      <c r="D184" s="12">
        <v>0</v>
      </c>
      <c r="J184" s="10" t="str">
        <f t="shared" si="5"/>
        <v>Y</v>
      </c>
    </row>
    <row r="185" spans="1:10" x14ac:dyDescent="0.2">
      <c r="A185" s="4" t="s">
        <v>402</v>
      </c>
      <c r="B185" s="4" t="s">
        <v>164</v>
      </c>
      <c r="C185" s="17" t="str">
        <f t="shared" si="4"/>
        <v>CL</v>
      </c>
      <c r="D185" s="12">
        <v>0</v>
      </c>
      <c r="J185" s="10" t="str">
        <f t="shared" si="5"/>
        <v>Y</v>
      </c>
    </row>
    <row r="186" spans="1:10" x14ac:dyDescent="0.2">
      <c r="A186" s="4" t="s">
        <v>403</v>
      </c>
      <c r="B186" s="4" t="s">
        <v>164</v>
      </c>
      <c r="C186" s="17" t="str">
        <f t="shared" si="4"/>
        <v>CL</v>
      </c>
      <c r="D186" s="12">
        <v>0</v>
      </c>
      <c r="J186" s="10" t="str">
        <f t="shared" si="5"/>
        <v>Y</v>
      </c>
    </row>
    <row r="187" spans="1:10" x14ac:dyDescent="0.2">
      <c r="A187" s="4" t="s">
        <v>404</v>
      </c>
      <c r="B187" s="4" t="s">
        <v>164</v>
      </c>
      <c r="C187" s="17" t="str">
        <f t="shared" si="4"/>
        <v>CL</v>
      </c>
      <c r="D187" s="12">
        <v>0</v>
      </c>
      <c r="J187" s="10" t="str">
        <f t="shared" si="5"/>
        <v>Y</v>
      </c>
    </row>
    <row r="188" spans="1:10" x14ac:dyDescent="0.2">
      <c r="A188" s="4" t="s">
        <v>405</v>
      </c>
      <c r="B188" s="4" t="s">
        <v>164</v>
      </c>
      <c r="C188" s="17" t="str">
        <f t="shared" si="4"/>
        <v>CL</v>
      </c>
      <c r="D188" s="12">
        <v>0</v>
      </c>
      <c r="J188" s="10" t="str">
        <f t="shared" si="5"/>
        <v>Y</v>
      </c>
    </row>
    <row r="189" spans="1:10" x14ac:dyDescent="0.2">
      <c r="A189" s="4" t="s">
        <v>406</v>
      </c>
      <c r="B189" s="4" t="s">
        <v>164</v>
      </c>
      <c r="C189" s="17" t="str">
        <f t="shared" si="4"/>
        <v>CL</v>
      </c>
      <c r="D189" s="12">
        <v>0</v>
      </c>
      <c r="J189" s="10" t="str">
        <f t="shared" si="5"/>
        <v>Y</v>
      </c>
    </row>
    <row r="190" spans="1:10" x14ac:dyDescent="0.2">
      <c r="A190" s="4" t="s">
        <v>407</v>
      </c>
      <c r="B190" s="4" t="s">
        <v>164</v>
      </c>
      <c r="C190" s="17" t="str">
        <f t="shared" si="4"/>
        <v>CL</v>
      </c>
      <c r="D190" s="12">
        <v>0</v>
      </c>
      <c r="J190" s="10" t="str">
        <f t="shared" si="5"/>
        <v>Y</v>
      </c>
    </row>
    <row r="191" spans="1:10" x14ac:dyDescent="0.2">
      <c r="A191" s="4" t="s">
        <v>408</v>
      </c>
      <c r="B191" s="4" t="s">
        <v>164</v>
      </c>
      <c r="C191" s="17" t="str">
        <f t="shared" si="4"/>
        <v>CL</v>
      </c>
      <c r="D191" s="12">
        <v>0</v>
      </c>
      <c r="J191" s="10" t="str">
        <f t="shared" si="5"/>
        <v>Y</v>
      </c>
    </row>
    <row r="192" spans="1:10" x14ac:dyDescent="0.2">
      <c r="A192" s="4" t="s">
        <v>409</v>
      </c>
      <c r="B192" s="4" t="s">
        <v>164</v>
      </c>
      <c r="C192" s="17" t="str">
        <f t="shared" si="4"/>
        <v>CL</v>
      </c>
      <c r="D192" s="12">
        <v>0</v>
      </c>
      <c r="J192" s="10" t="str">
        <f t="shared" si="5"/>
        <v>Y</v>
      </c>
    </row>
    <row r="193" spans="1:10" x14ac:dyDescent="0.2">
      <c r="A193" s="4" t="s">
        <v>410</v>
      </c>
      <c r="B193" s="4" t="s">
        <v>164</v>
      </c>
      <c r="C193" s="17" t="str">
        <f t="shared" si="4"/>
        <v>CL</v>
      </c>
      <c r="D193" s="12">
        <v>0</v>
      </c>
      <c r="J193" s="10" t="str">
        <f t="shared" si="5"/>
        <v>Y</v>
      </c>
    </row>
    <row r="194" spans="1:10" x14ac:dyDescent="0.2">
      <c r="A194" s="4" t="s">
        <v>411</v>
      </c>
      <c r="B194" s="4" t="s">
        <v>164</v>
      </c>
      <c r="C194" s="17" t="str">
        <f t="shared" ref="C194:C257" si="6">VLOOKUP(B194, quota_order_numbers2, 6, FALSE)</f>
        <v>CL</v>
      </c>
      <c r="D194" s="12">
        <v>0</v>
      </c>
      <c r="J194" s="10" t="str">
        <f t="shared" ref="J194:J257" si="7">VLOOKUP(B194, quota_order_numbers2, 2, FALSE)</f>
        <v>Y</v>
      </c>
    </row>
    <row r="195" spans="1:10" x14ac:dyDescent="0.2">
      <c r="A195" s="4" t="s">
        <v>412</v>
      </c>
      <c r="B195" s="4" t="s">
        <v>164</v>
      </c>
      <c r="C195" s="17" t="str">
        <f t="shared" si="6"/>
        <v>CL</v>
      </c>
      <c r="D195" s="12">
        <v>0</v>
      </c>
      <c r="J195" s="10" t="str">
        <f t="shared" si="7"/>
        <v>Y</v>
      </c>
    </row>
    <row r="196" spans="1:10" x14ac:dyDescent="0.2">
      <c r="A196" s="4" t="s">
        <v>413</v>
      </c>
      <c r="B196" s="4" t="s">
        <v>164</v>
      </c>
      <c r="C196" s="17" t="str">
        <f t="shared" si="6"/>
        <v>CL</v>
      </c>
      <c r="D196" s="12">
        <v>0</v>
      </c>
      <c r="J196" s="10" t="str">
        <f t="shared" si="7"/>
        <v>Y</v>
      </c>
    </row>
    <row r="197" spans="1:10" x14ac:dyDescent="0.2">
      <c r="A197" s="4" t="s">
        <v>414</v>
      </c>
      <c r="B197" s="4" t="s">
        <v>164</v>
      </c>
      <c r="C197" s="17" t="str">
        <f t="shared" si="6"/>
        <v>CL</v>
      </c>
      <c r="D197" s="12">
        <v>0</v>
      </c>
      <c r="J197" s="10" t="str">
        <f t="shared" si="7"/>
        <v>Y</v>
      </c>
    </row>
    <row r="198" spans="1:10" x14ac:dyDescent="0.2">
      <c r="A198" s="4" t="s">
        <v>415</v>
      </c>
      <c r="B198" s="4" t="s">
        <v>164</v>
      </c>
      <c r="C198" s="17" t="str">
        <f t="shared" si="6"/>
        <v>CL</v>
      </c>
      <c r="D198" s="12">
        <v>0</v>
      </c>
      <c r="J198" s="10" t="str">
        <f t="shared" si="7"/>
        <v>Y</v>
      </c>
    </row>
    <row r="199" spans="1:10" x14ac:dyDescent="0.2">
      <c r="A199" s="4" t="s">
        <v>416</v>
      </c>
      <c r="B199" s="4" t="s">
        <v>164</v>
      </c>
      <c r="C199" s="17" t="str">
        <f t="shared" si="6"/>
        <v>CL</v>
      </c>
      <c r="D199" s="12">
        <v>0</v>
      </c>
      <c r="J199" s="10" t="str">
        <f t="shared" si="7"/>
        <v>Y</v>
      </c>
    </row>
    <row r="200" spans="1:10" x14ac:dyDescent="0.2">
      <c r="A200" s="4" t="s">
        <v>417</v>
      </c>
      <c r="B200" s="4" t="s">
        <v>164</v>
      </c>
      <c r="C200" s="17" t="str">
        <f t="shared" si="6"/>
        <v>CL</v>
      </c>
      <c r="D200" s="12">
        <v>0</v>
      </c>
      <c r="J200" s="10" t="str">
        <f t="shared" si="7"/>
        <v>Y</v>
      </c>
    </row>
    <row r="201" spans="1:10" x14ac:dyDescent="0.2">
      <c r="A201" s="4" t="s">
        <v>418</v>
      </c>
      <c r="B201" s="4" t="s">
        <v>164</v>
      </c>
      <c r="C201" s="17" t="str">
        <f t="shared" si="6"/>
        <v>CL</v>
      </c>
      <c r="D201" s="12">
        <v>0</v>
      </c>
      <c r="J201" s="10" t="str">
        <f t="shared" si="7"/>
        <v>Y</v>
      </c>
    </row>
    <row r="202" spans="1:10" x14ac:dyDescent="0.2">
      <c r="A202" s="4" t="s">
        <v>419</v>
      </c>
      <c r="B202" s="4" t="s">
        <v>164</v>
      </c>
      <c r="C202" s="17" t="str">
        <f t="shared" si="6"/>
        <v>CL</v>
      </c>
      <c r="D202" s="12">
        <v>0</v>
      </c>
      <c r="J202" s="10" t="str">
        <f t="shared" si="7"/>
        <v>Y</v>
      </c>
    </row>
    <row r="203" spans="1:10" x14ac:dyDescent="0.2">
      <c r="A203" s="4" t="s">
        <v>420</v>
      </c>
      <c r="B203" s="4" t="s">
        <v>164</v>
      </c>
      <c r="C203" s="17" t="str">
        <f t="shared" si="6"/>
        <v>CL</v>
      </c>
      <c r="D203" s="12">
        <v>0</v>
      </c>
      <c r="J203" s="10" t="str">
        <f t="shared" si="7"/>
        <v>Y</v>
      </c>
    </row>
    <row r="204" spans="1:10" x14ac:dyDescent="0.2">
      <c r="A204" s="4" t="s">
        <v>421</v>
      </c>
      <c r="B204" s="4" t="s">
        <v>164</v>
      </c>
      <c r="C204" s="17" t="str">
        <f t="shared" si="6"/>
        <v>CL</v>
      </c>
      <c r="D204" s="12">
        <v>0</v>
      </c>
      <c r="J204" s="10" t="str">
        <f t="shared" si="7"/>
        <v>Y</v>
      </c>
    </row>
    <row r="205" spans="1:10" x14ac:dyDescent="0.2">
      <c r="A205" s="4" t="s">
        <v>422</v>
      </c>
      <c r="B205" s="4" t="s">
        <v>164</v>
      </c>
      <c r="C205" s="17" t="str">
        <f t="shared" si="6"/>
        <v>CL</v>
      </c>
      <c r="D205" s="12">
        <v>0</v>
      </c>
      <c r="J205" s="10" t="str">
        <f t="shared" si="7"/>
        <v>Y</v>
      </c>
    </row>
    <row r="206" spans="1:10" x14ac:dyDescent="0.2">
      <c r="A206" s="4" t="s">
        <v>423</v>
      </c>
      <c r="B206" s="4" t="s">
        <v>164</v>
      </c>
      <c r="C206" s="17" t="str">
        <f t="shared" si="6"/>
        <v>CL</v>
      </c>
      <c r="D206" s="12">
        <v>0</v>
      </c>
      <c r="J206" s="10" t="str">
        <f t="shared" si="7"/>
        <v>Y</v>
      </c>
    </row>
    <row r="207" spans="1:10" x14ac:dyDescent="0.2">
      <c r="A207" s="4" t="s">
        <v>424</v>
      </c>
      <c r="B207" s="4" t="s">
        <v>164</v>
      </c>
      <c r="C207" s="17" t="str">
        <f t="shared" si="6"/>
        <v>CL</v>
      </c>
      <c r="D207" s="12">
        <v>0</v>
      </c>
      <c r="J207" s="10" t="str">
        <f t="shared" si="7"/>
        <v>Y</v>
      </c>
    </row>
    <row r="208" spans="1:10" x14ac:dyDescent="0.2">
      <c r="A208" s="4" t="s">
        <v>425</v>
      </c>
      <c r="B208" s="4" t="s">
        <v>166</v>
      </c>
      <c r="C208" s="17" t="str">
        <f t="shared" si="6"/>
        <v>CL</v>
      </c>
      <c r="D208" s="12">
        <v>0</v>
      </c>
      <c r="J208" s="10" t="str">
        <f t="shared" si="7"/>
        <v>Y</v>
      </c>
    </row>
    <row r="209" spans="1:10" x14ac:dyDescent="0.2">
      <c r="A209" s="4" t="s">
        <v>426</v>
      </c>
      <c r="B209" s="4" t="s">
        <v>168</v>
      </c>
      <c r="C209" s="17" t="str">
        <f t="shared" si="6"/>
        <v>CL</v>
      </c>
      <c r="D209" s="12">
        <v>0</v>
      </c>
      <c r="J209" s="10" t="str">
        <f t="shared" si="7"/>
        <v>Y</v>
      </c>
    </row>
    <row r="210" spans="1:10" x14ac:dyDescent="0.2">
      <c r="A210" s="4" t="s">
        <v>427</v>
      </c>
      <c r="B210" s="4" t="s">
        <v>170</v>
      </c>
      <c r="C210" s="17" t="str">
        <f t="shared" si="6"/>
        <v>CL</v>
      </c>
      <c r="D210" s="12">
        <v>0</v>
      </c>
      <c r="J210" s="10" t="str">
        <f t="shared" si="7"/>
        <v>Y</v>
      </c>
    </row>
    <row r="211" spans="1:10" x14ac:dyDescent="0.2">
      <c r="A211" s="4" t="s">
        <v>428</v>
      </c>
      <c r="B211" s="4" t="s">
        <v>170</v>
      </c>
      <c r="C211" s="17" t="str">
        <f t="shared" si="6"/>
        <v>CL</v>
      </c>
      <c r="D211" s="12">
        <v>0</v>
      </c>
      <c r="J211" s="10" t="str">
        <f t="shared" si="7"/>
        <v>Y</v>
      </c>
    </row>
    <row r="212" spans="1:10" x14ac:dyDescent="0.2">
      <c r="A212" s="4" t="s">
        <v>429</v>
      </c>
      <c r="B212" s="4" t="s">
        <v>172</v>
      </c>
      <c r="C212" s="17" t="str">
        <f t="shared" si="6"/>
        <v>CL</v>
      </c>
      <c r="D212" s="12">
        <v>0</v>
      </c>
      <c r="J212" s="10" t="str">
        <f t="shared" si="7"/>
        <v>Y</v>
      </c>
    </row>
    <row r="213" spans="1:10" x14ac:dyDescent="0.2">
      <c r="A213" s="4" t="s">
        <v>430</v>
      </c>
      <c r="B213" s="4" t="s">
        <v>174</v>
      </c>
      <c r="C213" s="17" t="str">
        <f t="shared" si="6"/>
        <v>CL</v>
      </c>
      <c r="D213" s="12">
        <v>0</v>
      </c>
      <c r="J213" s="10" t="str">
        <f t="shared" si="7"/>
        <v>Y</v>
      </c>
    </row>
    <row r="214" spans="1:10" x14ac:dyDescent="0.2">
      <c r="A214" s="4" t="s">
        <v>431</v>
      </c>
      <c r="B214" s="4" t="s">
        <v>176</v>
      </c>
      <c r="C214" s="17" t="str">
        <f t="shared" si="6"/>
        <v>CL</v>
      </c>
      <c r="D214" s="12">
        <v>0</v>
      </c>
      <c r="J214" s="10" t="str">
        <f t="shared" si="7"/>
        <v>Y</v>
      </c>
    </row>
    <row r="215" spans="1:10" x14ac:dyDescent="0.2">
      <c r="A215" s="4" t="s">
        <v>432</v>
      </c>
      <c r="B215" s="4" t="s">
        <v>176</v>
      </c>
      <c r="C215" s="17" t="str">
        <f t="shared" si="6"/>
        <v>CL</v>
      </c>
      <c r="D215" s="12">
        <v>0</v>
      </c>
      <c r="J215" s="10" t="str">
        <f t="shared" si="7"/>
        <v>Y</v>
      </c>
    </row>
    <row r="216" spans="1:10" x14ac:dyDescent="0.2">
      <c r="A216" s="4" t="s">
        <v>433</v>
      </c>
      <c r="B216" s="4" t="s">
        <v>176</v>
      </c>
      <c r="C216" s="17" t="str">
        <f t="shared" si="6"/>
        <v>CL</v>
      </c>
      <c r="D216" s="12">
        <v>0</v>
      </c>
      <c r="J216" s="10" t="str">
        <f t="shared" si="7"/>
        <v>Y</v>
      </c>
    </row>
    <row r="217" spans="1:10" x14ac:dyDescent="0.2">
      <c r="A217" s="4" t="s">
        <v>434</v>
      </c>
      <c r="B217" s="4" t="s">
        <v>176</v>
      </c>
      <c r="C217" s="17" t="str">
        <f t="shared" si="6"/>
        <v>CL</v>
      </c>
      <c r="D217" s="12">
        <v>0</v>
      </c>
      <c r="J217" s="10" t="str">
        <f t="shared" si="7"/>
        <v>Y</v>
      </c>
    </row>
    <row r="218" spans="1:10" x14ac:dyDescent="0.2">
      <c r="A218" s="4" t="s">
        <v>435</v>
      </c>
      <c r="B218" s="4" t="s">
        <v>178</v>
      </c>
      <c r="C218" s="17" t="str">
        <f t="shared" si="6"/>
        <v>CL</v>
      </c>
      <c r="D218" s="12">
        <v>0</v>
      </c>
      <c r="J218" s="10" t="str">
        <f t="shared" si="7"/>
        <v>Y</v>
      </c>
    </row>
    <row r="219" spans="1:10" x14ac:dyDescent="0.2">
      <c r="A219" s="4" t="s">
        <v>436</v>
      </c>
      <c r="B219" s="4" t="s">
        <v>178</v>
      </c>
      <c r="C219" s="17" t="str">
        <f t="shared" si="6"/>
        <v>CL</v>
      </c>
      <c r="D219" s="12">
        <v>0</v>
      </c>
      <c r="J219" s="10" t="str">
        <f t="shared" si="7"/>
        <v>Y</v>
      </c>
    </row>
    <row r="220" spans="1:10" x14ac:dyDescent="0.2">
      <c r="A220" s="4" t="s">
        <v>437</v>
      </c>
      <c r="B220" s="4" t="s">
        <v>178</v>
      </c>
      <c r="C220" s="17" t="str">
        <f t="shared" si="6"/>
        <v>CL</v>
      </c>
      <c r="D220" s="12">
        <v>0</v>
      </c>
      <c r="J220" s="10" t="str">
        <f t="shared" si="7"/>
        <v>Y</v>
      </c>
    </row>
    <row r="221" spans="1:10" x14ac:dyDescent="0.2">
      <c r="A221" s="4" t="s">
        <v>438</v>
      </c>
      <c r="B221" s="4" t="s">
        <v>180</v>
      </c>
      <c r="C221" s="17" t="str">
        <f t="shared" si="6"/>
        <v>CL</v>
      </c>
      <c r="D221" s="12">
        <v>0</v>
      </c>
      <c r="J221" s="10" t="str">
        <f t="shared" si="7"/>
        <v>Y</v>
      </c>
    </row>
    <row r="222" spans="1:10" x14ac:dyDescent="0.2">
      <c r="A222" s="4" t="s">
        <v>439</v>
      </c>
      <c r="B222" s="4" t="s">
        <v>180</v>
      </c>
      <c r="C222" s="17" t="str">
        <f t="shared" si="6"/>
        <v>CL</v>
      </c>
      <c r="D222" s="12">
        <v>0</v>
      </c>
      <c r="J222" s="10" t="str">
        <f t="shared" si="7"/>
        <v>Y</v>
      </c>
    </row>
    <row r="223" spans="1:10" x14ac:dyDescent="0.2">
      <c r="A223" s="4" t="s">
        <v>440</v>
      </c>
      <c r="B223" s="4" t="s">
        <v>180</v>
      </c>
      <c r="C223" s="17" t="str">
        <f t="shared" si="6"/>
        <v>CL</v>
      </c>
      <c r="D223" s="12">
        <v>0</v>
      </c>
      <c r="J223" s="10" t="str">
        <f t="shared" si="7"/>
        <v>Y</v>
      </c>
    </row>
    <row r="224" spans="1:10" x14ac:dyDescent="0.2">
      <c r="A224" s="4" t="s">
        <v>441</v>
      </c>
      <c r="B224" s="4" t="s">
        <v>180</v>
      </c>
      <c r="C224" s="17" t="str">
        <f t="shared" si="6"/>
        <v>CL</v>
      </c>
      <c r="D224" s="12">
        <v>0</v>
      </c>
      <c r="J224" s="10" t="str">
        <f t="shared" si="7"/>
        <v>Y</v>
      </c>
    </row>
    <row r="225" spans="1:10" x14ac:dyDescent="0.2">
      <c r="A225" s="4" t="s">
        <v>442</v>
      </c>
      <c r="B225" s="4" t="s">
        <v>180</v>
      </c>
      <c r="C225" s="17" t="str">
        <f t="shared" si="6"/>
        <v>CL</v>
      </c>
      <c r="D225" s="12">
        <v>0</v>
      </c>
      <c r="J225" s="10" t="str">
        <f t="shared" si="7"/>
        <v>Y</v>
      </c>
    </row>
    <row r="226" spans="1:10" x14ac:dyDescent="0.2">
      <c r="A226" s="4" t="s">
        <v>443</v>
      </c>
      <c r="B226" s="4" t="s">
        <v>182</v>
      </c>
      <c r="C226" s="17" t="str">
        <f t="shared" si="6"/>
        <v>CL</v>
      </c>
      <c r="D226" s="12">
        <v>0</v>
      </c>
      <c r="J226" s="10" t="str">
        <f t="shared" si="7"/>
        <v>Y</v>
      </c>
    </row>
    <row r="227" spans="1:10" x14ac:dyDescent="0.2">
      <c r="A227" s="4" t="s">
        <v>444</v>
      </c>
      <c r="B227" s="4" t="s">
        <v>182</v>
      </c>
      <c r="C227" s="17" t="str">
        <f t="shared" si="6"/>
        <v>CL</v>
      </c>
      <c r="D227" s="12">
        <v>0</v>
      </c>
      <c r="J227" s="10" t="str">
        <f t="shared" si="7"/>
        <v>Y</v>
      </c>
    </row>
    <row r="228" spans="1:10" x14ac:dyDescent="0.2">
      <c r="A228" s="4" t="s">
        <v>445</v>
      </c>
      <c r="B228" s="4" t="s">
        <v>184</v>
      </c>
      <c r="C228" s="17" t="str">
        <f t="shared" si="6"/>
        <v>CL</v>
      </c>
      <c r="D228" s="12">
        <v>0</v>
      </c>
      <c r="J228" s="10" t="str">
        <f t="shared" si="7"/>
        <v>Y</v>
      </c>
    </row>
    <row r="229" spans="1:10" x14ac:dyDescent="0.2">
      <c r="A229" s="4" t="s">
        <v>446</v>
      </c>
      <c r="B229" s="4" t="s">
        <v>184</v>
      </c>
      <c r="C229" s="17" t="str">
        <f t="shared" si="6"/>
        <v>CL</v>
      </c>
      <c r="D229" s="12">
        <v>0</v>
      </c>
      <c r="J229" s="10" t="str">
        <f t="shared" si="7"/>
        <v>Y</v>
      </c>
    </row>
    <row r="230" spans="1:10" x14ac:dyDescent="0.2">
      <c r="A230" s="4" t="s">
        <v>447</v>
      </c>
      <c r="B230" s="4" t="s">
        <v>184</v>
      </c>
      <c r="C230" s="17" t="str">
        <f t="shared" si="6"/>
        <v>CL</v>
      </c>
      <c r="D230" s="12">
        <v>0</v>
      </c>
      <c r="J230" s="10" t="str">
        <f t="shared" si="7"/>
        <v>Y</v>
      </c>
    </row>
    <row r="231" spans="1:10" x14ac:dyDescent="0.2">
      <c r="A231" s="4" t="s">
        <v>448</v>
      </c>
      <c r="B231" s="4" t="s">
        <v>184</v>
      </c>
      <c r="C231" s="17" t="str">
        <f t="shared" si="6"/>
        <v>CL</v>
      </c>
      <c r="D231" s="12">
        <v>0</v>
      </c>
      <c r="J231" s="10" t="str">
        <f t="shared" si="7"/>
        <v>Y</v>
      </c>
    </row>
    <row r="232" spans="1:10" x14ac:dyDescent="0.2">
      <c r="A232" s="4" t="s">
        <v>449</v>
      </c>
      <c r="B232" s="4" t="s">
        <v>184</v>
      </c>
      <c r="C232" s="17" t="str">
        <f t="shared" si="6"/>
        <v>CL</v>
      </c>
      <c r="D232" s="12">
        <v>0</v>
      </c>
      <c r="J232" s="10" t="str">
        <f t="shared" si="7"/>
        <v>Y</v>
      </c>
    </row>
    <row r="233" spans="1:10" x14ac:dyDescent="0.2">
      <c r="A233" s="4" t="s">
        <v>450</v>
      </c>
      <c r="B233" s="4" t="s">
        <v>184</v>
      </c>
      <c r="C233" s="17" t="str">
        <f t="shared" si="6"/>
        <v>CL</v>
      </c>
      <c r="D233" s="12">
        <v>0</v>
      </c>
      <c r="J233" s="10" t="str">
        <f t="shared" si="7"/>
        <v>Y</v>
      </c>
    </row>
    <row r="234" spans="1:10" x14ac:dyDescent="0.2">
      <c r="A234" s="4" t="s">
        <v>451</v>
      </c>
      <c r="B234" s="4" t="s">
        <v>184</v>
      </c>
      <c r="C234" s="17" t="str">
        <f t="shared" si="6"/>
        <v>CL</v>
      </c>
      <c r="D234" s="12">
        <v>0</v>
      </c>
      <c r="J234" s="10" t="str">
        <f t="shared" si="7"/>
        <v>Y</v>
      </c>
    </row>
    <row r="235" spans="1:10" x14ac:dyDescent="0.2">
      <c r="A235" s="4" t="s">
        <v>452</v>
      </c>
      <c r="B235" s="4" t="s">
        <v>184</v>
      </c>
      <c r="C235" s="17" t="str">
        <f t="shared" si="6"/>
        <v>CL</v>
      </c>
      <c r="D235" s="12">
        <v>0</v>
      </c>
      <c r="J235" s="10" t="str">
        <f t="shared" si="7"/>
        <v>Y</v>
      </c>
    </row>
    <row r="236" spans="1:10" x14ac:dyDescent="0.2">
      <c r="A236" s="4" t="s">
        <v>294</v>
      </c>
      <c r="B236" s="4" t="s">
        <v>186</v>
      </c>
      <c r="C236" s="17" t="str">
        <f t="shared" si="6"/>
        <v>CL</v>
      </c>
      <c r="D236" s="12">
        <v>0</v>
      </c>
      <c r="J236" s="10" t="str">
        <f t="shared" si="7"/>
        <v>Y</v>
      </c>
    </row>
    <row r="237" spans="1:10" x14ac:dyDescent="0.2">
      <c r="A237" s="4" t="s">
        <v>295</v>
      </c>
      <c r="B237" s="4" t="s">
        <v>186</v>
      </c>
      <c r="C237" s="17" t="str">
        <f t="shared" si="6"/>
        <v>CL</v>
      </c>
      <c r="D237" s="12">
        <v>0</v>
      </c>
      <c r="J237" s="10" t="str">
        <f t="shared" si="7"/>
        <v>Y</v>
      </c>
    </row>
    <row r="238" spans="1:10" x14ac:dyDescent="0.2">
      <c r="A238" s="4" t="s">
        <v>296</v>
      </c>
      <c r="B238" s="4" t="s">
        <v>186</v>
      </c>
      <c r="C238" s="17" t="str">
        <f t="shared" si="6"/>
        <v>CL</v>
      </c>
      <c r="D238" s="12">
        <v>0</v>
      </c>
      <c r="J238" s="10" t="str">
        <f t="shared" si="7"/>
        <v>Y</v>
      </c>
    </row>
    <row r="239" spans="1:10" x14ac:dyDescent="0.2">
      <c r="A239" s="4" t="s">
        <v>297</v>
      </c>
      <c r="B239" s="4" t="s">
        <v>186</v>
      </c>
      <c r="C239" s="17" t="str">
        <f t="shared" si="6"/>
        <v>CL</v>
      </c>
      <c r="D239" s="12">
        <v>0</v>
      </c>
      <c r="J239" s="10" t="str">
        <f t="shared" si="7"/>
        <v>Y</v>
      </c>
    </row>
    <row r="240" spans="1:10" x14ac:dyDescent="0.2">
      <c r="A240" s="4" t="s">
        <v>298</v>
      </c>
      <c r="B240" s="4" t="s">
        <v>186</v>
      </c>
      <c r="C240" s="17" t="str">
        <f t="shared" si="6"/>
        <v>CL</v>
      </c>
      <c r="D240" s="12">
        <v>0</v>
      </c>
      <c r="J240" s="10" t="str">
        <f t="shared" si="7"/>
        <v>Y</v>
      </c>
    </row>
    <row r="241" spans="1:10" x14ac:dyDescent="0.2">
      <c r="A241" s="4" t="s">
        <v>299</v>
      </c>
      <c r="B241" s="4" t="s">
        <v>186</v>
      </c>
      <c r="C241" s="17" t="str">
        <f t="shared" si="6"/>
        <v>CL</v>
      </c>
      <c r="D241" s="12">
        <v>0</v>
      </c>
      <c r="J241" s="10" t="str">
        <f t="shared" si="7"/>
        <v>Y</v>
      </c>
    </row>
    <row r="242" spans="1:10" x14ac:dyDescent="0.2">
      <c r="A242" s="4" t="s">
        <v>300</v>
      </c>
      <c r="B242" s="4" t="s">
        <v>186</v>
      </c>
      <c r="C242" s="17" t="str">
        <f t="shared" si="6"/>
        <v>CL</v>
      </c>
      <c r="D242" s="12">
        <v>0</v>
      </c>
      <c r="J242" s="10" t="str">
        <f t="shared" si="7"/>
        <v>Y</v>
      </c>
    </row>
    <row r="243" spans="1:10" x14ac:dyDescent="0.2">
      <c r="A243" s="4" t="s">
        <v>301</v>
      </c>
      <c r="B243" s="4" t="s">
        <v>186</v>
      </c>
      <c r="C243" s="17" t="str">
        <f t="shared" si="6"/>
        <v>CL</v>
      </c>
      <c r="D243" s="12">
        <v>0</v>
      </c>
      <c r="J243" s="10" t="str">
        <f t="shared" si="7"/>
        <v>Y</v>
      </c>
    </row>
    <row r="244" spans="1:10" x14ac:dyDescent="0.2">
      <c r="A244" s="4" t="s">
        <v>302</v>
      </c>
      <c r="B244" s="4" t="s">
        <v>186</v>
      </c>
      <c r="C244" s="17" t="str">
        <f t="shared" si="6"/>
        <v>CL</v>
      </c>
      <c r="D244" s="12">
        <v>0</v>
      </c>
      <c r="J244" s="10" t="str">
        <f t="shared" si="7"/>
        <v>Y</v>
      </c>
    </row>
    <row r="245" spans="1:10" x14ac:dyDescent="0.2">
      <c r="A245" s="4" t="s">
        <v>303</v>
      </c>
      <c r="B245" s="4" t="s">
        <v>186</v>
      </c>
      <c r="C245" s="17" t="str">
        <f t="shared" si="6"/>
        <v>CL</v>
      </c>
      <c r="D245" s="12">
        <v>0</v>
      </c>
      <c r="J245" s="10" t="str">
        <f t="shared" si="7"/>
        <v>Y</v>
      </c>
    </row>
    <row r="246" spans="1:10" x14ac:dyDescent="0.2">
      <c r="A246" s="4" t="s">
        <v>304</v>
      </c>
      <c r="B246" s="4" t="s">
        <v>186</v>
      </c>
      <c r="C246" s="17" t="str">
        <f t="shared" si="6"/>
        <v>CL</v>
      </c>
      <c r="D246" s="12">
        <v>0</v>
      </c>
      <c r="J246" s="10" t="str">
        <f t="shared" si="7"/>
        <v>Y</v>
      </c>
    </row>
    <row r="247" spans="1:10" x14ac:dyDescent="0.2">
      <c r="A247" s="4" t="s">
        <v>305</v>
      </c>
      <c r="B247" s="4" t="s">
        <v>186</v>
      </c>
      <c r="C247" s="17" t="str">
        <f t="shared" si="6"/>
        <v>CL</v>
      </c>
      <c r="D247" s="12">
        <v>0</v>
      </c>
      <c r="J247" s="10" t="str">
        <f t="shared" si="7"/>
        <v>Y</v>
      </c>
    </row>
    <row r="248" spans="1:10" x14ac:dyDescent="0.2">
      <c r="A248" s="4" t="s">
        <v>306</v>
      </c>
      <c r="B248" s="4" t="s">
        <v>186</v>
      </c>
      <c r="C248" s="17" t="str">
        <f t="shared" si="6"/>
        <v>CL</v>
      </c>
      <c r="D248" s="12">
        <v>0</v>
      </c>
      <c r="J248" s="10" t="str">
        <f t="shared" si="7"/>
        <v>Y</v>
      </c>
    </row>
    <row r="249" spans="1:10" x14ac:dyDescent="0.2">
      <c r="A249" s="4" t="s">
        <v>307</v>
      </c>
      <c r="B249" s="4" t="s">
        <v>186</v>
      </c>
      <c r="C249" s="17" t="str">
        <f t="shared" si="6"/>
        <v>CL</v>
      </c>
      <c r="D249" s="12">
        <v>0</v>
      </c>
      <c r="J249" s="10" t="str">
        <f t="shared" si="7"/>
        <v>Y</v>
      </c>
    </row>
    <row r="250" spans="1:10" x14ac:dyDescent="0.2">
      <c r="A250" s="4" t="s">
        <v>308</v>
      </c>
      <c r="B250" s="4" t="s">
        <v>186</v>
      </c>
      <c r="C250" s="17" t="str">
        <f t="shared" si="6"/>
        <v>CL</v>
      </c>
      <c r="D250" s="12">
        <v>0</v>
      </c>
      <c r="J250" s="10" t="str">
        <f t="shared" si="7"/>
        <v>Y</v>
      </c>
    </row>
    <row r="251" spans="1:10" x14ac:dyDescent="0.2">
      <c r="A251" s="4" t="s">
        <v>309</v>
      </c>
      <c r="B251" s="4" t="s">
        <v>186</v>
      </c>
      <c r="C251" s="17" t="str">
        <f t="shared" si="6"/>
        <v>CL</v>
      </c>
      <c r="D251" s="12">
        <v>0</v>
      </c>
      <c r="J251" s="10" t="str">
        <f t="shared" si="7"/>
        <v>Y</v>
      </c>
    </row>
    <row r="252" spans="1:10" x14ac:dyDescent="0.2">
      <c r="A252" s="4" t="s">
        <v>310</v>
      </c>
      <c r="B252" s="4" t="s">
        <v>186</v>
      </c>
      <c r="C252" s="17" t="str">
        <f t="shared" si="6"/>
        <v>CL</v>
      </c>
      <c r="D252" s="12">
        <v>0</v>
      </c>
      <c r="J252" s="10" t="str">
        <f t="shared" si="7"/>
        <v>Y</v>
      </c>
    </row>
    <row r="253" spans="1:10" x14ac:dyDescent="0.2">
      <c r="A253" s="4" t="s">
        <v>311</v>
      </c>
      <c r="B253" s="4" t="s">
        <v>186</v>
      </c>
      <c r="C253" s="17" t="str">
        <f t="shared" si="6"/>
        <v>CL</v>
      </c>
      <c r="D253" s="12">
        <v>0</v>
      </c>
      <c r="J253" s="10" t="str">
        <f t="shared" si="7"/>
        <v>Y</v>
      </c>
    </row>
    <row r="254" spans="1:10" x14ac:dyDescent="0.2">
      <c r="A254" s="4" t="s">
        <v>312</v>
      </c>
      <c r="B254" s="4" t="s">
        <v>186</v>
      </c>
      <c r="C254" s="17" t="str">
        <f t="shared" si="6"/>
        <v>CL</v>
      </c>
      <c r="D254" s="12">
        <v>0</v>
      </c>
      <c r="J254" s="10" t="str">
        <f t="shared" si="7"/>
        <v>Y</v>
      </c>
    </row>
    <row r="255" spans="1:10" x14ac:dyDescent="0.2">
      <c r="A255" s="4" t="s">
        <v>313</v>
      </c>
      <c r="B255" s="4" t="s">
        <v>186</v>
      </c>
      <c r="C255" s="17" t="str">
        <f t="shared" si="6"/>
        <v>CL</v>
      </c>
      <c r="D255" s="12">
        <v>0</v>
      </c>
      <c r="J255" s="10" t="str">
        <f t="shared" si="7"/>
        <v>Y</v>
      </c>
    </row>
    <row r="256" spans="1:10" x14ac:dyDescent="0.2">
      <c r="A256" s="4" t="s">
        <v>453</v>
      </c>
      <c r="B256" s="4" t="s">
        <v>188</v>
      </c>
      <c r="C256" s="17" t="str">
        <f t="shared" si="6"/>
        <v>CL</v>
      </c>
      <c r="D256" s="12">
        <v>0</v>
      </c>
      <c r="J256" s="10" t="str">
        <f t="shared" si="7"/>
        <v>Y</v>
      </c>
    </row>
    <row r="257" spans="1:10" x14ac:dyDescent="0.2">
      <c r="A257" s="4" t="s">
        <v>454</v>
      </c>
      <c r="B257" s="4" t="s">
        <v>188</v>
      </c>
      <c r="C257" s="17" t="str">
        <f t="shared" si="6"/>
        <v>CL</v>
      </c>
      <c r="D257" s="12">
        <v>0</v>
      </c>
      <c r="J257" s="10" t="str">
        <f t="shared" si="7"/>
        <v>Y</v>
      </c>
    </row>
    <row r="258" spans="1:10" x14ac:dyDescent="0.2">
      <c r="A258" s="4" t="s">
        <v>455</v>
      </c>
      <c r="B258" s="4" t="s">
        <v>188</v>
      </c>
      <c r="C258" s="17" t="str">
        <f t="shared" ref="C258:C321" si="8">VLOOKUP(B258, quota_order_numbers2, 6, FALSE)</f>
        <v>CL</v>
      </c>
      <c r="D258" s="12">
        <v>0</v>
      </c>
      <c r="J258" s="10" t="str">
        <f t="shared" ref="J258:J321" si="9">VLOOKUP(B258, quota_order_numbers2, 2, FALSE)</f>
        <v>Y</v>
      </c>
    </row>
    <row r="259" spans="1:10" x14ac:dyDescent="0.2">
      <c r="A259" s="4" t="s">
        <v>456</v>
      </c>
      <c r="B259" s="4" t="s">
        <v>188</v>
      </c>
      <c r="C259" s="17" t="str">
        <f t="shared" si="8"/>
        <v>CL</v>
      </c>
      <c r="D259" s="12">
        <v>0</v>
      </c>
      <c r="J259" s="10" t="str">
        <f t="shared" si="9"/>
        <v>Y</v>
      </c>
    </row>
    <row r="260" spans="1:10" x14ac:dyDescent="0.2">
      <c r="A260" s="4" t="s">
        <v>457</v>
      </c>
      <c r="B260" s="4" t="s">
        <v>188</v>
      </c>
      <c r="C260" s="17" t="str">
        <f t="shared" si="8"/>
        <v>CL</v>
      </c>
      <c r="D260" s="12">
        <v>0</v>
      </c>
      <c r="J260" s="10" t="str">
        <f t="shared" si="9"/>
        <v>Y</v>
      </c>
    </row>
    <row r="261" spans="1:10" x14ac:dyDescent="0.2">
      <c r="A261" s="4" t="s">
        <v>458</v>
      </c>
      <c r="B261" s="4" t="s">
        <v>190</v>
      </c>
      <c r="C261" s="17" t="str">
        <f t="shared" si="8"/>
        <v>CL</v>
      </c>
      <c r="D261" s="12">
        <v>0</v>
      </c>
      <c r="J261" s="10" t="str">
        <f t="shared" si="9"/>
        <v>Y</v>
      </c>
    </row>
    <row r="262" spans="1:10" x14ac:dyDescent="0.2">
      <c r="A262" s="4" t="s">
        <v>459</v>
      </c>
      <c r="B262" s="4" t="s">
        <v>190</v>
      </c>
      <c r="C262" s="17" t="str">
        <f t="shared" si="8"/>
        <v>CL</v>
      </c>
      <c r="D262" s="12">
        <v>0</v>
      </c>
      <c r="J262" s="10" t="str">
        <f t="shared" si="9"/>
        <v>Y</v>
      </c>
    </row>
    <row r="263" spans="1:10" x14ac:dyDescent="0.2">
      <c r="A263" s="4" t="s">
        <v>460</v>
      </c>
      <c r="B263" s="4" t="s">
        <v>190</v>
      </c>
      <c r="C263" s="17" t="str">
        <f t="shared" si="8"/>
        <v>CL</v>
      </c>
      <c r="D263" s="12">
        <v>0</v>
      </c>
      <c r="J263" s="10" t="str">
        <f t="shared" si="9"/>
        <v>Y</v>
      </c>
    </row>
    <row r="264" spans="1:10" x14ac:dyDescent="0.2">
      <c r="A264" s="4" t="s">
        <v>461</v>
      </c>
      <c r="B264" s="4" t="s">
        <v>190</v>
      </c>
      <c r="C264" s="17" t="str">
        <f t="shared" si="8"/>
        <v>CL</v>
      </c>
      <c r="D264" s="12">
        <v>0</v>
      </c>
      <c r="J264" s="10" t="str">
        <f t="shared" si="9"/>
        <v>Y</v>
      </c>
    </row>
    <row r="265" spans="1:10" x14ac:dyDescent="0.2">
      <c r="A265" s="4" t="s">
        <v>462</v>
      </c>
      <c r="B265" s="4" t="s">
        <v>190</v>
      </c>
      <c r="C265" s="17" t="str">
        <f t="shared" si="8"/>
        <v>CL</v>
      </c>
      <c r="D265" s="12">
        <v>0</v>
      </c>
      <c r="J265" s="10" t="str">
        <f t="shared" si="9"/>
        <v>Y</v>
      </c>
    </row>
    <row r="266" spans="1:10" x14ac:dyDescent="0.2">
      <c r="A266" s="4" t="s">
        <v>463</v>
      </c>
      <c r="B266" s="4" t="s">
        <v>218</v>
      </c>
      <c r="C266" s="17" t="str">
        <f t="shared" si="8"/>
        <v>CL</v>
      </c>
      <c r="D266" s="12">
        <v>0</v>
      </c>
      <c r="J266" s="10" t="str">
        <f t="shared" si="9"/>
        <v>Y</v>
      </c>
    </row>
    <row r="267" spans="1:10" x14ac:dyDescent="0.2">
      <c r="A267" s="4" t="s">
        <v>464</v>
      </c>
      <c r="B267" s="4" t="s">
        <v>218</v>
      </c>
      <c r="C267" s="17" t="str">
        <f t="shared" si="8"/>
        <v>CL</v>
      </c>
      <c r="D267" s="12">
        <v>0</v>
      </c>
      <c r="J267" s="10" t="str">
        <f t="shared" si="9"/>
        <v>Y</v>
      </c>
    </row>
    <row r="268" spans="1:10" x14ac:dyDescent="0.2">
      <c r="A268" s="4" t="s">
        <v>465</v>
      </c>
      <c r="B268" s="4" t="s">
        <v>218</v>
      </c>
      <c r="C268" s="17" t="str">
        <f t="shared" si="8"/>
        <v>CL</v>
      </c>
      <c r="D268" s="12">
        <v>0</v>
      </c>
      <c r="J268" s="10" t="str">
        <f t="shared" si="9"/>
        <v>Y</v>
      </c>
    </row>
    <row r="269" spans="1:10" x14ac:dyDescent="0.2">
      <c r="A269" s="4" t="s">
        <v>466</v>
      </c>
      <c r="B269" s="4" t="s">
        <v>218</v>
      </c>
      <c r="C269" s="17" t="str">
        <f t="shared" si="8"/>
        <v>CL</v>
      </c>
      <c r="D269" s="12">
        <v>0</v>
      </c>
      <c r="J269" s="10" t="str">
        <f t="shared" si="9"/>
        <v>Y</v>
      </c>
    </row>
    <row r="270" spans="1:10" x14ac:dyDescent="0.2">
      <c r="A270" s="4" t="s">
        <v>467</v>
      </c>
      <c r="B270" s="4" t="s">
        <v>193</v>
      </c>
      <c r="C270" s="17" t="str">
        <f t="shared" si="8"/>
        <v>FO</v>
      </c>
      <c r="D270" s="12">
        <v>0</v>
      </c>
      <c r="J270" s="10">
        <f t="shared" si="9"/>
        <v>0</v>
      </c>
    </row>
    <row r="271" spans="1:10" x14ac:dyDescent="0.2">
      <c r="A271" s="4" t="s">
        <v>468</v>
      </c>
      <c r="B271" s="4" t="s">
        <v>193</v>
      </c>
      <c r="C271" s="17" t="str">
        <f t="shared" si="8"/>
        <v>FO</v>
      </c>
      <c r="D271" s="12">
        <v>0</v>
      </c>
      <c r="J271" s="10">
        <f t="shared" si="9"/>
        <v>0</v>
      </c>
    </row>
    <row r="272" spans="1:10" x14ac:dyDescent="0.2">
      <c r="A272" s="4" t="s">
        <v>469</v>
      </c>
      <c r="B272" s="4" t="s">
        <v>193</v>
      </c>
      <c r="C272" s="17" t="str">
        <f t="shared" si="8"/>
        <v>FO</v>
      </c>
      <c r="D272" s="12">
        <v>0</v>
      </c>
      <c r="J272" s="10">
        <f t="shared" si="9"/>
        <v>0</v>
      </c>
    </row>
    <row r="273" spans="1:10" x14ac:dyDescent="0.2">
      <c r="A273" s="4" t="s">
        <v>470</v>
      </c>
      <c r="B273" s="4" t="s">
        <v>193</v>
      </c>
      <c r="C273" s="17" t="str">
        <f t="shared" si="8"/>
        <v>FO</v>
      </c>
      <c r="D273" s="12">
        <v>0</v>
      </c>
      <c r="J273" s="10">
        <f t="shared" si="9"/>
        <v>0</v>
      </c>
    </row>
    <row r="274" spans="1:10" x14ac:dyDescent="0.2">
      <c r="A274" s="4" t="s">
        <v>471</v>
      </c>
      <c r="B274" s="4" t="s">
        <v>193</v>
      </c>
      <c r="C274" s="17" t="str">
        <f t="shared" si="8"/>
        <v>FO</v>
      </c>
      <c r="D274" s="12">
        <v>0</v>
      </c>
      <c r="J274" s="10">
        <f t="shared" si="9"/>
        <v>0</v>
      </c>
    </row>
    <row r="275" spans="1:10" x14ac:dyDescent="0.2">
      <c r="A275" s="4" t="s">
        <v>472</v>
      </c>
      <c r="B275" s="4" t="s">
        <v>193</v>
      </c>
      <c r="C275" s="17" t="str">
        <f t="shared" si="8"/>
        <v>FO</v>
      </c>
      <c r="D275" s="12">
        <v>0</v>
      </c>
      <c r="J275" s="10">
        <f t="shared" si="9"/>
        <v>0</v>
      </c>
    </row>
    <row r="276" spans="1:10" x14ac:dyDescent="0.2">
      <c r="A276" s="4" t="s">
        <v>473</v>
      </c>
      <c r="B276" s="4" t="s">
        <v>193</v>
      </c>
      <c r="C276" s="17" t="str">
        <f t="shared" si="8"/>
        <v>FO</v>
      </c>
      <c r="D276" s="12">
        <v>0</v>
      </c>
      <c r="J276" s="10">
        <f t="shared" si="9"/>
        <v>0</v>
      </c>
    </row>
    <row r="277" spans="1:10" x14ac:dyDescent="0.2">
      <c r="A277" s="4" t="s">
        <v>474</v>
      </c>
      <c r="B277" s="4" t="s">
        <v>193</v>
      </c>
      <c r="C277" s="17" t="str">
        <f t="shared" si="8"/>
        <v>FO</v>
      </c>
      <c r="D277" s="12">
        <v>0</v>
      </c>
      <c r="J277" s="10">
        <f t="shared" si="9"/>
        <v>0</v>
      </c>
    </row>
    <row r="278" spans="1:10" x14ac:dyDescent="0.2">
      <c r="A278" s="4" t="s">
        <v>475</v>
      </c>
      <c r="B278" s="4" t="s">
        <v>193</v>
      </c>
      <c r="C278" s="17" t="str">
        <f t="shared" si="8"/>
        <v>FO</v>
      </c>
      <c r="D278" s="12">
        <v>0</v>
      </c>
      <c r="J278" s="10">
        <f t="shared" si="9"/>
        <v>0</v>
      </c>
    </row>
    <row r="279" spans="1:10" x14ac:dyDescent="0.2">
      <c r="A279" s="4" t="s">
        <v>476</v>
      </c>
      <c r="B279" s="4" t="s">
        <v>193</v>
      </c>
      <c r="C279" s="17" t="str">
        <f t="shared" si="8"/>
        <v>FO</v>
      </c>
      <c r="D279" s="12">
        <v>0</v>
      </c>
      <c r="J279" s="10">
        <f t="shared" si="9"/>
        <v>0</v>
      </c>
    </row>
    <row r="280" spans="1:10" x14ac:dyDescent="0.2">
      <c r="A280" s="4" t="s">
        <v>477</v>
      </c>
      <c r="B280" s="4" t="s">
        <v>193</v>
      </c>
      <c r="C280" s="17" t="str">
        <f t="shared" si="8"/>
        <v>FO</v>
      </c>
      <c r="D280" s="12">
        <v>0</v>
      </c>
      <c r="J280" s="10">
        <f t="shared" si="9"/>
        <v>0</v>
      </c>
    </row>
    <row r="281" spans="1:10" x14ac:dyDescent="0.2">
      <c r="A281" s="4" t="s">
        <v>478</v>
      </c>
      <c r="B281" s="4" t="s">
        <v>193</v>
      </c>
      <c r="C281" s="17" t="str">
        <f t="shared" si="8"/>
        <v>FO</v>
      </c>
      <c r="D281" s="12">
        <v>0</v>
      </c>
      <c r="J281" s="10">
        <f t="shared" si="9"/>
        <v>0</v>
      </c>
    </row>
    <row r="282" spans="1:10" x14ac:dyDescent="0.2">
      <c r="A282" s="4" t="s">
        <v>479</v>
      </c>
      <c r="B282" s="4" t="s">
        <v>193</v>
      </c>
      <c r="C282" s="17" t="str">
        <f t="shared" si="8"/>
        <v>FO</v>
      </c>
      <c r="D282" s="12">
        <v>0</v>
      </c>
      <c r="J282" s="10">
        <f t="shared" si="9"/>
        <v>0</v>
      </c>
    </row>
    <row r="283" spans="1:10" x14ac:dyDescent="0.2">
      <c r="A283" s="4" t="s">
        <v>480</v>
      </c>
      <c r="B283" s="4" t="s">
        <v>197</v>
      </c>
      <c r="C283" s="17" t="str">
        <f t="shared" si="8"/>
        <v>FO</v>
      </c>
      <c r="D283" s="12">
        <v>0</v>
      </c>
      <c r="J283" s="10">
        <f t="shared" si="9"/>
        <v>0</v>
      </c>
    </row>
    <row r="284" spans="1:10" x14ac:dyDescent="0.2">
      <c r="A284" s="4" t="s">
        <v>481</v>
      </c>
      <c r="B284" s="4" t="s">
        <v>199</v>
      </c>
      <c r="C284" s="17" t="str">
        <f t="shared" si="8"/>
        <v>FO</v>
      </c>
      <c r="D284" s="12">
        <v>0</v>
      </c>
      <c r="J284" s="10">
        <f t="shared" si="9"/>
        <v>0</v>
      </c>
    </row>
    <row r="285" spans="1:10" x14ac:dyDescent="0.2">
      <c r="A285" s="4" t="s">
        <v>482</v>
      </c>
      <c r="B285" s="4" t="s">
        <v>199</v>
      </c>
      <c r="C285" s="17" t="str">
        <f t="shared" si="8"/>
        <v>FO</v>
      </c>
      <c r="D285" s="12">
        <v>0</v>
      </c>
      <c r="J285" s="10">
        <f t="shared" si="9"/>
        <v>0</v>
      </c>
    </row>
    <row r="286" spans="1:10" x14ac:dyDescent="0.2">
      <c r="A286" s="4" t="s">
        <v>483</v>
      </c>
      <c r="B286" s="4" t="s">
        <v>199</v>
      </c>
      <c r="C286" s="17" t="str">
        <f t="shared" si="8"/>
        <v>FO</v>
      </c>
      <c r="D286" s="12">
        <v>0</v>
      </c>
      <c r="J286" s="10">
        <f t="shared" si="9"/>
        <v>0</v>
      </c>
    </row>
    <row r="287" spans="1:10" x14ac:dyDescent="0.2">
      <c r="A287" s="4" t="s">
        <v>484</v>
      </c>
      <c r="B287" s="4" t="s">
        <v>201</v>
      </c>
      <c r="C287" s="17" t="str">
        <f t="shared" si="8"/>
        <v>FO</v>
      </c>
      <c r="D287" s="12">
        <v>0</v>
      </c>
      <c r="J287" s="10">
        <f t="shared" si="9"/>
        <v>0</v>
      </c>
    </row>
    <row r="288" spans="1:10" x14ac:dyDescent="0.2">
      <c r="A288" s="4" t="s">
        <v>485</v>
      </c>
      <c r="B288" s="4" t="s">
        <v>201</v>
      </c>
      <c r="C288" s="17" t="str">
        <f t="shared" si="8"/>
        <v>FO</v>
      </c>
      <c r="D288" s="12">
        <v>0</v>
      </c>
      <c r="J288" s="10">
        <f t="shared" si="9"/>
        <v>0</v>
      </c>
    </row>
    <row r="289" spans="1:10" x14ac:dyDescent="0.2">
      <c r="A289" s="4" t="s">
        <v>486</v>
      </c>
      <c r="B289" s="4" t="s">
        <v>201</v>
      </c>
      <c r="C289" s="17" t="str">
        <f t="shared" si="8"/>
        <v>FO</v>
      </c>
      <c r="D289" s="12">
        <v>0</v>
      </c>
      <c r="J289" s="10">
        <f t="shared" si="9"/>
        <v>0</v>
      </c>
    </row>
    <row r="290" spans="1:10" x14ac:dyDescent="0.2">
      <c r="A290" s="4" t="s">
        <v>487</v>
      </c>
      <c r="B290" s="4" t="s">
        <v>201</v>
      </c>
      <c r="C290" s="17" t="str">
        <f t="shared" si="8"/>
        <v>FO</v>
      </c>
      <c r="D290" s="12">
        <v>0</v>
      </c>
      <c r="J290" s="10">
        <f t="shared" si="9"/>
        <v>0</v>
      </c>
    </row>
    <row r="291" spans="1:10" x14ac:dyDescent="0.2">
      <c r="A291" s="4" t="s">
        <v>488</v>
      </c>
      <c r="B291" s="4" t="s">
        <v>203</v>
      </c>
      <c r="C291" s="17" t="str">
        <f t="shared" si="8"/>
        <v>FO</v>
      </c>
      <c r="D291" s="12">
        <v>0</v>
      </c>
      <c r="J291" s="10">
        <f t="shared" si="9"/>
        <v>0</v>
      </c>
    </row>
    <row r="292" spans="1:10" x14ac:dyDescent="0.2">
      <c r="A292" s="4" t="s">
        <v>489</v>
      </c>
      <c r="B292" s="4" t="s">
        <v>205</v>
      </c>
      <c r="C292" s="17" t="str">
        <f t="shared" si="8"/>
        <v>FO</v>
      </c>
      <c r="D292" s="12">
        <v>0</v>
      </c>
      <c r="J292" s="10">
        <f t="shared" si="9"/>
        <v>0</v>
      </c>
    </row>
    <row r="293" spans="1:10" x14ac:dyDescent="0.2">
      <c r="A293" s="4" t="s">
        <v>490</v>
      </c>
      <c r="B293" s="4" t="s">
        <v>205</v>
      </c>
      <c r="C293" s="17" t="str">
        <f t="shared" si="8"/>
        <v>FO</v>
      </c>
      <c r="D293" s="12">
        <v>0</v>
      </c>
      <c r="J293" s="10">
        <f t="shared" si="9"/>
        <v>0</v>
      </c>
    </row>
    <row r="294" spans="1:10" x14ac:dyDescent="0.2">
      <c r="A294" s="4" t="s">
        <v>491</v>
      </c>
      <c r="B294" s="4" t="s">
        <v>205</v>
      </c>
      <c r="C294" s="17" t="str">
        <f t="shared" si="8"/>
        <v>FO</v>
      </c>
      <c r="D294" s="12">
        <v>0</v>
      </c>
      <c r="J294" s="10">
        <f t="shared" si="9"/>
        <v>0</v>
      </c>
    </row>
    <row r="295" spans="1:10" x14ac:dyDescent="0.2">
      <c r="A295" s="4" t="s">
        <v>492</v>
      </c>
      <c r="B295" s="4" t="s">
        <v>205</v>
      </c>
      <c r="C295" s="17" t="str">
        <f t="shared" si="8"/>
        <v>FO</v>
      </c>
      <c r="D295" s="12">
        <v>0</v>
      </c>
      <c r="J295" s="10">
        <f t="shared" si="9"/>
        <v>0</v>
      </c>
    </row>
    <row r="296" spans="1:10" x14ac:dyDescent="0.2">
      <c r="A296" s="4" t="s">
        <v>493</v>
      </c>
      <c r="B296" s="4" t="s">
        <v>205</v>
      </c>
      <c r="C296" s="17" t="str">
        <f t="shared" si="8"/>
        <v>FO</v>
      </c>
      <c r="D296" s="12">
        <v>0</v>
      </c>
      <c r="J296" s="10">
        <f t="shared" si="9"/>
        <v>0</v>
      </c>
    </row>
    <row r="297" spans="1:10" x14ac:dyDescent="0.2">
      <c r="A297" s="4" t="s">
        <v>494</v>
      </c>
      <c r="B297" s="4" t="s">
        <v>205</v>
      </c>
      <c r="C297" s="17" t="str">
        <f t="shared" si="8"/>
        <v>FO</v>
      </c>
      <c r="D297" s="12">
        <v>0</v>
      </c>
      <c r="J297" s="10">
        <f t="shared" si="9"/>
        <v>0</v>
      </c>
    </row>
    <row r="298" spans="1:10" x14ac:dyDescent="0.2">
      <c r="A298" s="4" t="s">
        <v>495</v>
      </c>
      <c r="B298" s="4" t="s">
        <v>205</v>
      </c>
      <c r="C298" s="17" t="str">
        <f t="shared" si="8"/>
        <v>FO</v>
      </c>
      <c r="D298" s="12">
        <v>0</v>
      </c>
      <c r="J298" s="10">
        <f t="shared" si="9"/>
        <v>0</v>
      </c>
    </row>
    <row r="299" spans="1:10" x14ac:dyDescent="0.2">
      <c r="A299" s="4" t="s">
        <v>496</v>
      </c>
      <c r="B299" s="4" t="s">
        <v>205</v>
      </c>
      <c r="C299" s="17" t="str">
        <f t="shared" si="8"/>
        <v>FO</v>
      </c>
      <c r="D299" s="12">
        <v>0</v>
      </c>
      <c r="J299" s="10">
        <f t="shared" si="9"/>
        <v>0</v>
      </c>
    </row>
    <row r="300" spans="1:10" x14ac:dyDescent="0.2">
      <c r="A300" s="4" t="s">
        <v>497</v>
      </c>
      <c r="B300" s="4" t="s">
        <v>205</v>
      </c>
      <c r="C300" s="17" t="str">
        <f t="shared" si="8"/>
        <v>FO</v>
      </c>
      <c r="D300" s="12">
        <v>0</v>
      </c>
      <c r="J300" s="10">
        <f t="shared" si="9"/>
        <v>0</v>
      </c>
    </row>
    <row r="301" spans="1:10" x14ac:dyDescent="0.2">
      <c r="A301" s="4" t="s">
        <v>498</v>
      </c>
      <c r="B301" s="4" t="s">
        <v>205</v>
      </c>
      <c r="C301" s="17" t="str">
        <f t="shared" si="8"/>
        <v>FO</v>
      </c>
      <c r="D301" s="12">
        <v>0</v>
      </c>
      <c r="J301" s="10">
        <f t="shared" si="9"/>
        <v>0</v>
      </c>
    </row>
    <row r="302" spans="1:10" x14ac:dyDescent="0.2">
      <c r="A302" s="4" t="s">
        <v>499</v>
      </c>
      <c r="B302" s="4" t="s">
        <v>205</v>
      </c>
      <c r="C302" s="17" t="str">
        <f t="shared" si="8"/>
        <v>FO</v>
      </c>
      <c r="D302" s="12">
        <v>0</v>
      </c>
      <c r="J302" s="10">
        <f t="shared" si="9"/>
        <v>0</v>
      </c>
    </row>
    <row r="303" spans="1:10" x14ac:dyDescent="0.2">
      <c r="A303" s="4" t="s">
        <v>500</v>
      </c>
      <c r="B303" s="4" t="s">
        <v>205</v>
      </c>
      <c r="C303" s="17" t="str">
        <f t="shared" si="8"/>
        <v>FO</v>
      </c>
      <c r="D303" s="12">
        <v>0</v>
      </c>
      <c r="J303" s="10">
        <f t="shared" si="9"/>
        <v>0</v>
      </c>
    </row>
    <row r="304" spans="1:10" x14ac:dyDescent="0.2">
      <c r="A304" s="4" t="s">
        <v>501</v>
      </c>
      <c r="B304" s="4" t="s">
        <v>205</v>
      </c>
      <c r="C304" s="17" t="str">
        <f t="shared" si="8"/>
        <v>FO</v>
      </c>
      <c r="D304" s="12">
        <v>0</v>
      </c>
      <c r="J304" s="10">
        <f t="shared" si="9"/>
        <v>0</v>
      </c>
    </row>
    <row r="305" spans="1:10" x14ac:dyDescent="0.2">
      <c r="A305" s="4" t="s">
        <v>502</v>
      </c>
      <c r="B305" s="4" t="s">
        <v>205</v>
      </c>
      <c r="C305" s="17" t="str">
        <f t="shared" si="8"/>
        <v>FO</v>
      </c>
      <c r="D305" s="12">
        <v>0</v>
      </c>
      <c r="J305" s="10">
        <f t="shared" si="9"/>
        <v>0</v>
      </c>
    </row>
    <row r="306" spans="1:10" x14ac:dyDescent="0.2">
      <c r="A306" s="4" t="s">
        <v>503</v>
      </c>
      <c r="B306" s="4" t="s">
        <v>205</v>
      </c>
      <c r="C306" s="17" t="str">
        <f t="shared" si="8"/>
        <v>FO</v>
      </c>
      <c r="D306" s="12">
        <v>0</v>
      </c>
      <c r="J306" s="10">
        <f t="shared" si="9"/>
        <v>0</v>
      </c>
    </row>
    <row r="307" spans="1:10" x14ac:dyDescent="0.2">
      <c r="A307" s="4" t="s">
        <v>504</v>
      </c>
      <c r="B307" s="4" t="s">
        <v>205</v>
      </c>
      <c r="C307" s="17" t="str">
        <f t="shared" si="8"/>
        <v>FO</v>
      </c>
      <c r="D307" s="12">
        <v>0</v>
      </c>
      <c r="J307" s="10">
        <f t="shared" si="9"/>
        <v>0</v>
      </c>
    </row>
    <row r="308" spans="1:10" x14ac:dyDescent="0.2">
      <c r="A308" s="4" t="s">
        <v>505</v>
      </c>
      <c r="B308" s="4" t="s">
        <v>205</v>
      </c>
      <c r="C308" s="17" t="str">
        <f t="shared" si="8"/>
        <v>FO</v>
      </c>
      <c r="D308" s="12">
        <v>0</v>
      </c>
      <c r="J308" s="10">
        <f t="shared" si="9"/>
        <v>0</v>
      </c>
    </row>
    <row r="309" spans="1:10" x14ac:dyDescent="0.2">
      <c r="A309" s="4" t="s">
        <v>506</v>
      </c>
      <c r="B309" s="4" t="s">
        <v>205</v>
      </c>
      <c r="C309" s="17" t="str">
        <f t="shared" si="8"/>
        <v>FO</v>
      </c>
      <c r="D309" s="12">
        <v>0</v>
      </c>
      <c r="J309" s="10">
        <f t="shared" si="9"/>
        <v>0</v>
      </c>
    </row>
    <row r="310" spans="1:10" x14ac:dyDescent="0.2">
      <c r="A310" s="4" t="s">
        <v>507</v>
      </c>
      <c r="B310" s="4" t="s">
        <v>205</v>
      </c>
      <c r="C310" s="17" t="str">
        <f t="shared" si="8"/>
        <v>FO</v>
      </c>
      <c r="D310" s="12">
        <v>0</v>
      </c>
      <c r="J310" s="10">
        <f t="shared" si="9"/>
        <v>0</v>
      </c>
    </row>
    <row r="311" spans="1:10" x14ac:dyDescent="0.2">
      <c r="A311" s="4" t="s">
        <v>508</v>
      </c>
      <c r="B311" s="4" t="s">
        <v>207</v>
      </c>
      <c r="C311" s="17" t="str">
        <f t="shared" si="8"/>
        <v>FO</v>
      </c>
      <c r="D311" s="12">
        <v>0</v>
      </c>
      <c r="J311" s="10">
        <f t="shared" si="9"/>
        <v>0</v>
      </c>
    </row>
    <row r="312" spans="1:10" x14ac:dyDescent="0.2">
      <c r="A312" s="4" t="s">
        <v>509</v>
      </c>
      <c r="B312" s="4" t="s">
        <v>207</v>
      </c>
      <c r="C312" s="17" t="str">
        <f t="shared" si="8"/>
        <v>FO</v>
      </c>
      <c r="D312" s="12">
        <v>0</v>
      </c>
      <c r="J312" s="10">
        <f t="shared" si="9"/>
        <v>0</v>
      </c>
    </row>
    <row r="313" spans="1:10" x14ac:dyDescent="0.2">
      <c r="A313" s="4" t="s">
        <v>510</v>
      </c>
      <c r="B313" s="4" t="s">
        <v>207</v>
      </c>
      <c r="C313" s="17" t="str">
        <f t="shared" si="8"/>
        <v>FO</v>
      </c>
      <c r="D313" s="12">
        <v>0</v>
      </c>
      <c r="J313" s="10">
        <f t="shared" si="9"/>
        <v>0</v>
      </c>
    </row>
    <row r="314" spans="1:10" x14ac:dyDescent="0.2">
      <c r="A314" s="4" t="s">
        <v>511</v>
      </c>
      <c r="B314" s="4" t="s">
        <v>207</v>
      </c>
      <c r="C314" s="17" t="str">
        <f t="shared" si="8"/>
        <v>FO</v>
      </c>
      <c r="D314" s="12">
        <v>0</v>
      </c>
      <c r="J314" s="10">
        <f t="shared" si="9"/>
        <v>0</v>
      </c>
    </row>
    <row r="315" spans="1:10" x14ac:dyDescent="0.2">
      <c r="A315" s="4" t="s">
        <v>512</v>
      </c>
      <c r="B315" s="4" t="s">
        <v>207</v>
      </c>
      <c r="C315" s="17" t="str">
        <f t="shared" si="8"/>
        <v>FO</v>
      </c>
      <c r="D315" s="12">
        <v>0</v>
      </c>
      <c r="J315" s="10">
        <f t="shared" si="9"/>
        <v>0</v>
      </c>
    </row>
    <row r="316" spans="1:10" x14ac:dyDescent="0.2">
      <c r="A316" s="4" t="s">
        <v>513</v>
      </c>
      <c r="B316" s="4" t="s">
        <v>207</v>
      </c>
      <c r="C316" s="17" t="str">
        <f t="shared" si="8"/>
        <v>FO</v>
      </c>
      <c r="D316" s="12">
        <v>0</v>
      </c>
      <c r="J316" s="10">
        <f t="shared" si="9"/>
        <v>0</v>
      </c>
    </row>
    <row r="317" spans="1:10" x14ac:dyDescent="0.2">
      <c r="A317" s="4" t="s">
        <v>514</v>
      </c>
      <c r="B317" s="4" t="s">
        <v>207</v>
      </c>
      <c r="C317" s="17" t="str">
        <f t="shared" si="8"/>
        <v>FO</v>
      </c>
      <c r="D317" s="12">
        <v>0</v>
      </c>
      <c r="J317" s="10">
        <f t="shared" si="9"/>
        <v>0</v>
      </c>
    </row>
    <row r="318" spans="1:10" x14ac:dyDescent="0.2">
      <c r="A318" s="4" t="s">
        <v>515</v>
      </c>
      <c r="B318" s="4" t="s">
        <v>207</v>
      </c>
      <c r="C318" s="17" t="str">
        <f t="shared" si="8"/>
        <v>FO</v>
      </c>
      <c r="D318" s="12">
        <v>0</v>
      </c>
      <c r="J318" s="10">
        <f t="shared" si="9"/>
        <v>0</v>
      </c>
    </row>
    <row r="319" spans="1:10" x14ac:dyDescent="0.2">
      <c r="A319" s="4" t="s">
        <v>516</v>
      </c>
      <c r="B319" s="4" t="s">
        <v>207</v>
      </c>
      <c r="C319" s="17" t="str">
        <f t="shared" si="8"/>
        <v>FO</v>
      </c>
      <c r="D319" s="12">
        <v>0</v>
      </c>
      <c r="J319" s="10">
        <f t="shared" si="9"/>
        <v>0</v>
      </c>
    </row>
    <row r="320" spans="1:10" x14ac:dyDescent="0.2">
      <c r="A320" s="4" t="s">
        <v>517</v>
      </c>
      <c r="B320" s="4" t="s">
        <v>207</v>
      </c>
      <c r="C320" s="17" t="str">
        <f t="shared" si="8"/>
        <v>FO</v>
      </c>
      <c r="D320" s="12">
        <v>0</v>
      </c>
      <c r="J320" s="10">
        <f t="shared" si="9"/>
        <v>0</v>
      </c>
    </row>
    <row r="321" spans="1:10" x14ac:dyDescent="0.2">
      <c r="A321" s="4" t="s">
        <v>518</v>
      </c>
      <c r="B321" s="4" t="s">
        <v>207</v>
      </c>
      <c r="C321" s="17" t="str">
        <f t="shared" si="8"/>
        <v>FO</v>
      </c>
      <c r="D321" s="12">
        <v>0</v>
      </c>
      <c r="J321" s="10">
        <f t="shared" si="9"/>
        <v>0</v>
      </c>
    </row>
    <row r="322" spans="1:10" x14ac:dyDescent="0.2">
      <c r="A322" s="4" t="s">
        <v>519</v>
      </c>
      <c r="B322" s="4" t="s">
        <v>207</v>
      </c>
      <c r="C322" s="17" t="str">
        <f t="shared" ref="C322:C385" si="10">VLOOKUP(B322, quota_order_numbers2, 6, FALSE)</f>
        <v>FO</v>
      </c>
      <c r="D322" s="12">
        <v>0</v>
      </c>
      <c r="J322" s="10">
        <f t="shared" ref="J322:J385" si="11">VLOOKUP(B322, quota_order_numbers2, 2, FALSE)</f>
        <v>0</v>
      </c>
    </row>
    <row r="323" spans="1:10" x14ac:dyDescent="0.2">
      <c r="A323" s="4" t="s">
        <v>520</v>
      </c>
      <c r="B323" s="4" t="s">
        <v>207</v>
      </c>
      <c r="C323" s="17" t="str">
        <f t="shared" si="10"/>
        <v>FO</v>
      </c>
      <c r="D323" s="12">
        <v>0</v>
      </c>
      <c r="J323" s="10">
        <f t="shared" si="11"/>
        <v>0</v>
      </c>
    </row>
    <row r="324" spans="1:10" x14ac:dyDescent="0.2">
      <c r="A324" s="4" t="s">
        <v>521</v>
      </c>
      <c r="B324" s="4" t="s">
        <v>207</v>
      </c>
      <c r="C324" s="17" t="str">
        <f t="shared" si="10"/>
        <v>FO</v>
      </c>
      <c r="D324" s="12">
        <v>0</v>
      </c>
      <c r="J324" s="10">
        <f t="shared" si="11"/>
        <v>0</v>
      </c>
    </row>
    <row r="325" spans="1:10" x14ac:dyDescent="0.2">
      <c r="A325" s="4" t="s">
        <v>522</v>
      </c>
      <c r="B325" s="4" t="s">
        <v>207</v>
      </c>
      <c r="C325" s="17" t="str">
        <f t="shared" si="10"/>
        <v>FO</v>
      </c>
      <c r="D325" s="12">
        <v>0</v>
      </c>
      <c r="J325" s="10">
        <f t="shared" si="11"/>
        <v>0</v>
      </c>
    </row>
    <row r="326" spans="1:10" x14ac:dyDescent="0.2">
      <c r="A326" s="4" t="s">
        <v>523</v>
      </c>
      <c r="B326" s="4" t="s">
        <v>209</v>
      </c>
      <c r="C326" s="17" t="str">
        <f t="shared" si="10"/>
        <v>FO</v>
      </c>
      <c r="D326" s="12">
        <v>0</v>
      </c>
      <c r="J326" s="10">
        <f t="shared" si="11"/>
        <v>0</v>
      </c>
    </row>
    <row r="327" spans="1:10" x14ac:dyDescent="0.2">
      <c r="A327" s="4" t="s">
        <v>524</v>
      </c>
      <c r="B327" s="4" t="s">
        <v>209</v>
      </c>
      <c r="C327" s="17" t="str">
        <f t="shared" si="10"/>
        <v>FO</v>
      </c>
      <c r="D327" s="12">
        <v>0</v>
      </c>
      <c r="J327" s="10">
        <f t="shared" si="11"/>
        <v>0</v>
      </c>
    </row>
    <row r="328" spans="1:10" x14ac:dyDescent="0.2">
      <c r="A328" s="4" t="s">
        <v>525</v>
      </c>
      <c r="B328" s="4" t="s">
        <v>209</v>
      </c>
      <c r="C328" s="17" t="str">
        <f t="shared" si="10"/>
        <v>FO</v>
      </c>
      <c r="D328" s="12">
        <v>0</v>
      </c>
      <c r="J328" s="10">
        <f t="shared" si="11"/>
        <v>0</v>
      </c>
    </row>
    <row r="329" spans="1:10" x14ac:dyDescent="0.2">
      <c r="A329" s="4" t="s">
        <v>526</v>
      </c>
      <c r="B329" s="4" t="s">
        <v>209</v>
      </c>
      <c r="C329" s="17" t="str">
        <f t="shared" si="10"/>
        <v>FO</v>
      </c>
      <c r="D329" s="12">
        <v>0</v>
      </c>
      <c r="J329" s="10">
        <f t="shared" si="11"/>
        <v>0</v>
      </c>
    </row>
    <row r="330" spans="1:10" x14ac:dyDescent="0.2">
      <c r="A330" s="4" t="s">
        <v>314</v>
      </c>
      <c r="B330" s="4" t="s">
        <v>211</v>
      </c>
      <c r="C330" s="17" t="str">
        <f t="shared" si="10"/>
        <v>FO</v>
      </c>
      <c r="D330" s="12">
        <v>0</v>
      </c>
      <c r="J330" s="10">
        <f t="shared" si="11"/>
        <v>0</v>
      </c>
    </row>
    <row r="331" spans="1:10" x14ac:dyDescent="0.2">
      <c r="A331" s="4" t="s">
        <v>315</v>
      </c>
      <c r="B331" s="4" t="s">
        <v>211</v>
      </c>
      <c r="C331" s="17" t="str">
        <f t="shared" si="10"/>
        <v>FO</v>
      </c>
      <c r="D331" s="12">
        <v>0</v>
      </c>
      <c r="J331" s="10">
        <f t="shared" si="11"/>
        <v>0</v>
      </c>
    </row>
    <row r="332" spans="1:10" x14ac:dyDescent="0.2">
      <c r="A332" s="4" t="s">
        <v>316</v>
      </c>
      <c r="B332" s="4" t="s">
        <v>211</v>
      </c>
      <c r="C332" s="17" t="str">
        <f t="shared" si="10"/>
        <v>FO</v>
      </c>
      <c r="D332" s="12">
        <v>0</v>
      </c>
      <c r="J332" s="10">
        <f t="shared" si="11"/>
        <v>0</v>
      </c>
    </row>
    <row r="333" spans="1:10" x14ac:dyDescent="0.2">
      <c r="A333" s="4" t="s">
        <v>317</v>
      </c>
      <c r="B333" s="4" t="s">
        <v>211</v>
      </c>
      <c r="C333" s="17" t="str">
        <f t="shared" si="10"/>
        <v>FO</v>
      </c>
      <c r="D333" s="12">
        <v>0</v>
      </c>
      <c r="J333" s="10">
        <f t="shared" si="11"/>
        <v>0</v>
      </c>
    </row>
    <row r="334" spans="1:10" x14ac:dyDescent="0.2">
      <c r="A334" s="4" t="s">
        <v>318</v>
      </c>
      <c r="B334" s="4" t="s">
        <v>211</v>
      </c>
      <c r="C334" s="17" t="str">
        <f t="shared" si="10"/>
        <v>FO</v>
      </c>
      <c r="D334" s="12">
        <v>0</v>
      </c>
      <c r="J334" s="10">
        <f t="shared" si="11"/>
        <v>0</v>
      </c>
    </row>
    <row r="335" spans="1:10" x14ac:dyDescent="0.2">
      <c r="A335" s="4" t="s">
        <v>319</v>
      </c>
      <c r="B335" s="4" t="s">
        <v>211</v>
      </c>
      <c r="C335" s="17" t="str">
        <f t="shared" si="10"/>
        <v>FO</v>
      </c>
      <c r="D335" s="12">
        <v>0</v>
      </c>
      <c r="J335" s="10">
        <f t="shared" si="11"/>
        <v>0</v>
      </c>
    </row>
    <row r="336" spans="1:10" x14ac:dyDescent="0.2">
      <c r="A336" s="4" t="s">
        <v>320</v>
      </c>
      <c r="B336" s="4" t="s">
        <v>211</v>
      </c>
      <c r="C336" s="17" t="str">
        <f t="shared" si="10"/>
        <v>FO</v>
      </c>
      <c r="D336" s="12">
        <v>0</v>
      </c>
      <c r="J336" s="10">
        <f t="shared" si="11"/>
        <v>0</v>
      </c>
    </row>
    <row r="337" spans="1:10" x14ac:dyDescent="0.2">
      <c r="A337" s="4" t="s">
        <v>321</v>
      </c>
      <c r="B337" s="4" t="s">
        <v>211</v>
      </c>
      <c r="C337" s="17" t="str">
        <f t="shared" si="10"/>
        <v>FO</v>
      </c>
      <c r="D337" s="12">
        <v>0</v>
      </c>
      <c r="J337" s="10">
        <f t="shared" si="11"/>
        <v>0</v>
      </c>
    </row>
    <row r="338" spans="1:10" x14ac:dyDescent="0.2">
      <c r="A338" s="4" t="s">
        <v>322</v>
      </c>
      <c r="B338" s="4" t="s">
        <v>211</v>
      </c>
      <c r="C338" s="17" t="str">
        <f t="shared" si="10"/>
        <v>FO</v>
      </c>
      <c r="D338" s="12">
        <v>0</v>
      </c>
      <c r="J338" s="10">
        <f t="shared" si="11"/>
        <v>0</v>
      </c>
    </row>
    <row r="339" spans="1:10" x14ac:dyDescent="0.2">
      <c r="A339" s="4" t="s">
        <v>323</v>
      </c>
      <c r="B339" s="4" t="s">
        <v>211</v>
      </c>
      <c r="C339" s="17" t="str">
        <f t="shared" si="10"/>
        <v>FO</v>
      </c>
      <c r="D339" s="12">
        <v>0</v>
      </c>
      <c r="J339" s="10">
        <f t="shared" si="11"/>
        <v>0</v>
      </c>
    </row>
    <row r="340" spans="1:10" x14ac:dyDescent="0.2">
      <c r="A340" s="4" t="s">
        <v>324</v>
      </c>
      <c r="B340" s="4" t="s">
        <v>211</v>
      </c>
      <c r="C340" s="17" t="str">
        <f t="shared" si="10"/>
        <v>FO</v>
      </c>
      <c r="D340" s="12">
        <v>0</v>
      </c>
      <c r="J340" s="10">
        <f t="shared" si="11"/>
        <v>0</v>
      </c>
    </row>
    <row r="341" spans="1:10" x14ac:dyDescent="0.2">
      <c r="A341" s="4" t="s">
        <v>325</v>
      </c>
      <c r="B341" s="4" t="s">
        <v>211</v>
      </c>
      <c r="C341" s="17" t="str">
        <f t="shared" si="10"/>
        <v>FO</v>
      </c>
      <c r="D341" s="12">
        <v>0</v>
      </c>
      <c r="J341" s="10">
        <f t="shared" si="11"/>
        <v>0</v>
      </c>
    </row>
    <row r="342" spans="1:10" x14ac:dyDescent="0.2">
      <c r="A342" s="4" t="s">
        <v>326</v>
      </c>
      <c r="B342" s="4" t="s">
        <v>211</v>
      </c>
      <c r="C342" s="17" t="str">
        <f t="shared" si="10"/>
        <v>FO</v>
      </c>
      <c r="D342" s="12">
        <v>0</v>
      </c>
      <c r="J342" s="10">
        <f t="shared" si="11"/>
        <v>0</v>
      </c>
    </row>
    <row r="343" spans="1:10" x14ac:dyDescent="0.2">
      <c r="A343" s="4" t="s">
        <v>327</v>
      </c>
      <c r="B343" s="4" t="s">
        <v>211</v>
      </c>
      <c r="C343" s="17" t="str">
        <f t="shared" si="10"/>
        <v>FO</v>
      </c>
      <c r="D343" s="12">
        <v>0</v>
      </c>
      <c r="J343" s="10">
        <f t="shared" si="11"/>
        <v>0</v>
      </c>
    </row>
    <row r="344" spans="1:10" x14ac:dyDescent="0.2">
      <c r="A344" s="4" t="s">
        <v>328</v>
      </c>
      <c r="B344" s="4" t="s">
        <v>211</v>
      </c>
      <c r="C344" s="17" t="str">
        <f t="shared" si="10"/>
        <v>FO</v>
      </c>
      <c r="D344" s="12">
        <v>0</v>
      </c>
      <c r="J344" s="10">
        <f t="shared" si="11"/>
        <v>0</v>
      </c>
    </row>
    <row r="345" spans="1:10" x14ac:dyDescent="0.2">
      <c r="A345" s="4" t="s">
        <v>329</v>
      </c>
      <c r="B345" s="4" t="s">
        <v>211</v>
      </c>
      <c r="C345" s="17" t="str">
        <f t="shared" si="10"/>
        <v>FO</v>
      </c>
      <c r="D345" s="12">
        <v>0</v>
      </c>
      <c r="J345" s="10">
        <f t="shared" si="11"/>
        <v>0</v>
      </c>
    </row>
    <row r="346" spans="1:10" x14ac:dyDescent="0.2">
      <c r="A346" s="4" t="s">
        <v>453</v>
      </c>
      <c r="B346" s="4" t="s">
        <v>213</v>
      </c>
      <c r="C346" s="17" t="str">
        <f t="shared" si="10"/>
        <v>FO</v>
      </c>
      <c r="D346" s="12">
        <v>0</v>
      </c>
      <c r="J346" s="10">
        <f t="shared" si="11"/>
        <v>0</v>
      </c>
    </row>
    <row r="347" spans="1:10" x14ac:dyDescent="0.2">
      <c r="A347" s="4" t="s">
        <v>454</v>
      </c>
      <c r="B347" s="4" t="s">
        <v>213</v>
      </c>
      <c r="C347" s="17" t="str">
        <f t="shared" si="10"/>
        <v>FO</v>
      </c>
      <c r="D347" s="12">
        <v>0</v>
      </c>
      <c r="J347" s="10">
        <f t="shared" si="11"/>
        <v>0</v>
      </c>
    </row>
    <row r="348" spans="1:10" x14ac:dyDescent="0.2">
      <c r="A348" s="4" t="s">
        <v>455</v>
      </c>
      <c r="B348" s="4" t="s">
        <v>213</v>
      </c>
      <c r="C348" s="17" t="str">
        <f t="shared" si="10"/>
        <v>FO</v>
      </c>
      <c r="D348" s="12">
        <v>0</v>
      </c>
      <c r="J348" s="10">
        <f t="shared" si="11"/>
        <v>0</v>
      </c>
    </row>
    <row r="349" spans="1:10" x14ac:dyDescent="0.2">
      <c r="A349" s="4" t="s">
        <v>456</v>
      </c>
      <c r="B349" s="4" t="s">
        <v>213</v>
      </c>
      <c r="C349" s="17" t="str">
        <f t="shared" si="10"/>
        <v>FO</v>
      </c>
      <c r="D349" s="12">
        <v>0</v>
      </c>
      <c r="J349" s="10">
        <f t="shared" si="11"/>
        <v>0</v>
      </c>
    </row>
    <row r="350" spans="1:10" x14ac:dyDescent="0.2">
      <c r="A350" s="4" t="s">
        <v>457</v>
      </c>
      <c r="B350" s="4" t="s">
        <v>213</v>
      </c>
      <c r="C350" s="17" t="str">
        <f t="shared" si="10"/>
        <v>FO</v>
      </c>
      <c r="D350" s="12">
        <v>0</v>
      </c>
      <c r="J350" s="10">
        <f t="shared" si="11"/>
        <v>0</v>
      </c>
    </row>
    <row r="351" spans="1:10" x14ac:dyDescent="0.2">
      <c r="A351" s="4" t="s">
        <v>458</v>
      </c>
      <c r="B351" s="4" t="s">
        <v>215</v>
      </c>
      <c r="C351" s="17" t="str">
        <f t="shared" si="10"/>
        <v>FO</v>
      </c>
      <c r="D351" s="12">
        <v>0</v>
      </c>
      <c r="J351" s="10">
        <f t="shared" si="11"/>
        <v>0</v>
      </c>
    </row>
    <row r="352" spans="1:10" x14ac:dyDescent="0.2">
      <c r="A352" s="4" t="s">
        <v>459</v>
      </c>
      <c r="B352" s="4" t="s">
        <v>215</v>
      </c>
      <c r="C352" s="17" t="str">
        <f t="shared" si="10"/>
        <v>FO</v>
      </c>
      <c r="D352" s="12">
        <v>0</v>
      </c>
      <c r="J352" s="10">
        <f t="shared" si="11"/>
        <v>0</v>
      </c>
    </row>
    <row r="353" spans="1:10" x14ac:dyDescent="0.2">
      <c r="A353" s="4" t="s">
        <v>460</v>
      </c>
      <c r="B353" s="4" t="s">
        <v>215</v>
      </c>
      <c r="C353" s="17" t="str">
        <f t="shared" si="10"/>
        <v>FO</v>
      </c>
      <c r="D353" s="12">
        <v>0</v>
      </c>
      <c r="J353" s="10">
        <f t="shared" si="11"/>
        <v>0</v>
      </c>
    </row>
    <row r="354" spans="1:10" x14ac:dyDescent="0.2">
      <c r="A354" s="4" t="s">
        <v>461</v>
      </c>
      <c r="B354" s="4" t="s">
        <v>215</v>
      </c>
      <c r="C354" s="17" t="str">
        <f t="shared" si="10"/>
        <v>FO</v>
      </c>
      <c r="D354" s="12">
        <v>0</v>
      </c>
      <c r="J354" s="10">
        <f t="shared" si="11"/>
        <v>0</v>
      </c>
    </row>
    <row r="355" spans="1:10" x14ac:dyDescent="0.2">
      <c r="A355" s="4" t="s">
        <v>462</v>
      </c>
      <c r="B355" s="4" t="s">
        <v>215</v>
      </c>
      <c r="C355" s="17" t="str">
        <f t="shared" si="10"/>
        <v>FO</v>
      </c>
      <c r="D355" s="12">
        <v>0</v>
      </c>
      <c r="J355" s="10">
        <f t="shared" si="11"/>
        <v>0</v>
      </c>
    </row>
    <row r="356" spans="1:10" x14ac:dyDescent="0.2">
      <c r="A356" s="4" t="s">
        <v>527</v>
      </c>
      <c r="B356" s="4" t="s">
        <v>681</v>
      </c>
      <c r="C356" s="17" t="str">
        <f t="shared" si="10"/>
        <v>IL</v>
      </c>
      <c r="D356" s="12">
        <v>0</v>
      </c>
      <c r="J356" s="10">
        <f t="shared" si="11"/>
        <v>0</v>
      </c>
    </row>
    <row r="357" spans="1:10" x14ac:dyDescent="0.2">
      <c r="A357" s="4" t="s">
        <v>528</v>
      </c>
      <c r="B357" s="4" t="s">
        <v>682</v>
      </c>
      <c r="C357" s="17" t="str">
        <f t="shared" si="10"/>
        <v>IL</v>
      </c>
      <c r="D357" s="12">
        <v>0</v>
      </c>
      <c r="J357" s="10">
        <f t="shared" si="11"/>
        <v>0</v>
      </c>
    </row>
    <row r="358" spans="1:10" x14ac:dyDescent="0.2">
      <c r="A358" s="4" t="s">
        <v>529</v>
      </c>
      <c r="B358" s="4" t="s">
        <v>683</v>
      </c>
      <c r="C358" s="17" t="str">
        <f t="shared" si="10"/>
        <v>IL</v>
      </c>
      <c r="D358" s="12">
        <v>0</v>
      </c>
      <c r="J358" s="10">
        <f t="shared" si="11"/>
        <v>0</v>
      </c>
    </row>
    <row r="359" spans="1:10" x14ac:dyDescent="0.2">
      <c r="A359" s="4" t="s">
        <v>530</v>
      </c>
      <c r="B359" s="4" t="s">
        <v>684</v>
      </c>
      <c r="C359" s="17" t="str">
        <f t="shared" si="10"/>
        <v>IL</v>
      </c>
      <c r="D359" s="12">
        <v>0</v>
      </c>
      <c r="J359" s="10">
        <f t="shared" si="11"/>
        <v>0</v>
      </c>
    </row>
    <row r="360" spans="1:10" x14ac:dyDescent="0.2">
      <c r="A360" s="4" t="s">
        <v>531</v>
      </c>
      <c r="B360" s="4" t="s">
        <v>685</v>
      </c>
      <c r="C360" s="17" t="str">
        <f t="shared" si="10"/>
        <v>IL</v>
      </c>
      <c r="D360" s="12">
        <v>0</v>
      </c>
      <c r="J360" s="10">
        <f t="shared" si="11"/>
        <v>0</v>
      </c>
    </row>
    <row r="361" spans="1:10" x14ac:dyDescent="0.2">
      <c r="A361" s="4" t="s">
        <v>532</v>
      </c>
      <c r="B361" s="4" t="s">
        <v>685</v>
      </c>
      <c r="C361" s="17" t="str">
        <f t="shared" si="10"/>
        <v>IL</v>
      </c>
      <c r="D361" s="12">
        <v>0</v>
      </c>
      <c r="J361" s="10">
        <f t="shared" si="11"/>
        <v>0</v>
      </c>
    </row>
    <row r="362" spans="1:10" x14ac:dyDescent="0.2">
      <c r="A362" s="4" t="s">
        <v>533</v>
      </c>
      <c r="B362" s="4" t="s">
        <v>685</v>
      </c>
      <c r="C362" s="17" t="str">
        <f t="shared" si="10"/>
        <v>IL</v>
      </c>
      <c r="D362" s="12">
        <v>0</v>
      </c>
      <c r="J362" s="10">
        <f t="shared" si="11"/>
        <v>0</v>
      </c>
    </row>
    <row r="363" spans="1:10" x14ac:dyDescent="0.2">
      <c r="A363" s="4" t="s">
        <v>534</v>
      </c>
      <c r="B363" s="4" t="s">
        <v>685</v>
      </c>
      <c r="C363" s="17" t="str">
        <f t="shared" si="10"/>
        <v>IL</v>
      </c>
      <c r="D363" s="12">
        <v>0</v>
      </c>
      <c r="J363" s="10">
        <f t="shared" si="11"/>
        <v>0</v>
      </c>
    </row>
    <row r="364" spans="1:10" x14ac:dyDescent="0.2">
      <c r="A364" s="4" t="s">
        <v>535</v>
      </c>
      <c r="B364" s="4" t="s">
        <v>685</v>
      </c>
      <c r="C364" s="17" t="str">
        <f t="shared" si="10"/>
        <v>IL</v>
      </c>
      <c r="D364" s="12">
        <v>0</v>
      </c>
      <c r="J364" s="10">
        <f t="shared" si="11"/>
        <v>0</v>
      </c>
    </row>
    <row r="365" spans="1:10" x14ac:dyDescent="0.2">
      <c r="A365" s="4" t="s">
        <v>536</v>
      </c>
      <c r="B365" s="4" t="s">
        <v>685</v>
      </c>
      <c r="C365" s="17" t="str">
        <f t="shared" si="10"/>
        <v>IL</v>
      </c>
      <c r="D365" s="12">
        <v>0</v>
      </c>
      <c r="J365" s="10">
        <f t="shared" si="11"/>
        <v>0</v>
      </c>
    </row>
    <row r="366" spans="1:10" x14ac:dyDescent="0.2">
      <c r="A366" s="4" t="s">
        <v>537</v>
      </c>
      <c r="B366" s="4" t="s">
        <v>685</v>
      </c>
      <c r="C366" s="17" t="str">
        <f t="shared" si="10"/>
        <v>IL</v>
      </c>
      <c r="D366" s="12">
        <v>0</v>
      </c>
      <c r="J366" s="10">
        <f t="shared" si="11"/>
        <v>0</v>
      </c>
    </row>
    <row r="367" spans="1:10" x14ac:dyDescent="0.2">
      <c r="A367" s="4" t="s">
        <v>538</v>
      </c>
      <c r="B367" s="4" t="s">
        <v>685</v>
      </c>
      <c r="C367" s="17" t="str">
        <f t="shared" si="10"/>
        <v>IL</v>
      </c>
      <c r="D367" s="12">
        <v>0</v>
      </c>
      <c r="J367" s="10">
        <f t="shared" si="11"/>
        <v>0</v>
      </c>
    </row>
    <row r="368" spans="1:10" x14ac:dyDescent="0.2">
      <c r="A368" s="4" t="s">
        <v>539</v>
      </c>
      <c r="B368" s="4" t="s">
        <v>686</v>
      </c>
      <c r="C368" s="17" t="str">
        <f t="shared" si="10"/>
        <v>IL</v>
      </c>
      <c r="D368" s="12">
        <v>0</v>
      </c>
      <c r="J368" s="10">
        <f t="shared" si="11"/>
        <v>0</v>
      </c>
    </row>
    <row r="369" spans="1:10" x14ac:dyDescent="0.2">
      <c r="A369" s="4" t="s">
        <v>540</v>
      </c>
      <c r="B369" s="4" t="s">
        <v>686</v>
      </c>
      <c r="C369" s="17" t="str">
        <f t="shared" si="10"/>
        <v>IL</v>
      </c>
      <c r="D369" s="12">
        <v>0</v>
      </c>
      <c r="J369" s="10">
        <f t="shared" si="11"/>
        <v>0</v>
      </c>
    </row>
    <row r="370" spans="1:10" x14ac:dyDescent="0.2">
      <c r="A370" s="4" t="s">
        <v>541</v>
      </c>
      <c r="B370" s="4" t="s">
        <v>686</v>
      </c>
      <c r="C370" s="17" t="str">
        <f t="shared" si="10"/>
        <v>IL</v>
      </c>
      <c r="D370" s="12">
        <v>0</v>
      </c>
      <c r="J370" s="10">
        <f t="shared" si="11"/>
        <v>0</v>
      </c>
    </row>
    <row r="371" spans="1:10" x14ac:dyDescent="0.2">
      <c r="A371" s="4" t="s">
        <v>542</v>
      </c>
      <c r="B371" s="4" t="s">
        <v>686</v>
      </c>
      <c r="C371" s="17" t="str">
        <f t="shared" si="10"/>
        <v>IL</v>
      </c>
      <c r="D371" s="12">
        <v>0</v>
      </c>
      <c r="J371" s="10">
        <f t="shared" si="11"/>
        <v>0</v>
      </c>
    </row>
    <row r="372" spans="1:10" x14ac:dyDescent="0.2">
      <c r="A372" s="4" t="s">
        <v>543</v>
      </c>
      <c r="B372" s="4" t="s">
        <v>687</v>
      </c>
      <c r="C372" s="17" t="str">
        <f t="shared" si="10"/>
        <v>IL</v>
      </c>
      <c r="D372" s="12">
        <v>0</v>
      </c>
      <c r="J372" s="10">
        <f t="shared" si="11"/>
        <v>0</v>
      </c>
    </row>
    <row r="373" spans="1:10" x14ac:dyDescent="0.2">
      <c r="A373" s="4" t="s">
        <v>544</v>
      </c>
      <c r="B373" s="4" t="s">
        <v>687</v>
      </c>
      <c r="C373" s="17" t="str">
        <f t="shared" si="10"/>
        <v>IL</v>
      </c>
      <c r="D373" s="12">
        <v>0</v>
      </c>
      <c r="J373" s="10">
        <f t="shared" si="11"/>
        <v>0</v>
      </c>
    </row>
    <row r="374" spans="1:10" x14ac:dyDescent="0.2">
      <c r="A374" s="4" t="s">
        <v>545</v>
      </c>
      <c r="B374" s="4" t="s">
        <v>687</v>
      </c>
      <c r="C374" s="17" t="str">
        <f t="shared" si="10"/>
        <v>IL</v>
      </c>
      <c r="D374" s="12">
        <v>0</v>
      </c>
      <c r="J374" s="10">
        <f t="shared" si="11"/>
        <v>0</v>
      </c>
    </row>
    <row r="375" spans="1:10" x14ac:dyDescent="0.2">
      <c r="A375" s="4" t="s">
        <v>546</v>
      </c>
      <c r="B375" s="4" t="s">
        <v>687</v>
      </c>
      <c r="C375" s="17" t="str">
        <f t="shared" si="10"/>
        <v>IL</v>
      </c>
      <c r="D375" s="12">
        <v>0</v>
      </c>
      <c r="J375" s="10">
        <f t="shared" si="11"/>
        <v>0</v>
      </c>
    </row>
    <row r="376" spans="1:10" x14ac:dyDescent="0.2">
      <c r="A376" s="4" t="s">
        <v>547</v>
      </c>
      <c r="B376" s="4" t="s">
        <v>687</v>
      </c>
      <c r="C376" s="17" t="str">
        <f t="shared" si="10"/>
        <v>IL</v>
      </c>
      <c r="D376" s="12">
        <v>0</v>
      </c>
      <c r="J376" s="10">
        <f t="shared" si="11"/>
        <v>0</v>
      </c>
    </row>
    <row r="377" spans="1:10" x14ac:dyDescent="0.2">
      <c r="A377" s="4" t="s">
        <v>548</v>
      </c>
      <c r="B377" s="4" t="s">
        <v>687</v>
      </c>
      <c r="C377" s="17" t="str">
        <f t="shared" si="10"/>
        <v>IL</v>
      </c>
      <c r="D377" s="12">
        <v>0</v>
      </c>
      <c r="J377" s="10">
        <f t="shared" si="11"/>
        <v>0</v>
      </c>
    </row>
    <row r="378" spans="1:10" x14ac:dyDescent="0.2">
      <c r="A378" s="4" t="s">
        <v>549</v>
      </c>
      <c r="B378" s="4" t="s">
        <v>687</v>
      </c>
      <c r="C378" s="17" t="str">
        <f t="shared" si="10"/>
        <v>IL</v>
      </c>
      <c r="D378" s="12">
        <v>0</v>
      </c>
      <c r="J378" s="10">
        <f t="shared" si="11"/>
        <v>0</v>
      </c>
    </row>
    <row r="379" spans="1:10" x14ac:dyDescent="0.2">
      <c r="A379" s="4" t="s">
        <v>550</v>
      </c>
      <c r="B379" s="4" t="s">
        <v>687</v>
      </c>
      <c r="C379" s="17" t="str">
        <f t="shared" si="10"/>
        <v>IL</v>
      </c>
      <c r="D379" s="12">
        <v>0</v>
      </c>
      <c r="J379" s="10">
        <f t="shared" si="11"/>
        <v>0</v>
      </c>
    </row>
    <row r="380" spans="1:10" x14ac:dyDescent="0.2">
      <c r="A380" s="4" t="s">
        <v>551</v>
      </c>
      <c r="B380" s="4" t="s">
        <v>687</v>
      </c>
      <c r="C380" s="17" t="str">
        <f t="shared" si="10"/>
        <v>IL</v>
      </c>
      <c r="D380" s="12">
        <v>0</v>
      </c>
      <c r="J380" s="10">
        <f t="shared" si="11"/>
        <v>0</v>
      </c>
    </row>
    <row r="381" spans="1:10" x14ac:dyDescent="0.2">
      <c r="A381" s="4" t="s">
        <v>552</v>
      </c>
      <c r="B381" s="4" t="s">
        <v>687</v>
      </c>
      <c r="C381" s="17" t="str">
        <f t="shared" si="10"/>
        <v>IL</v>
      </c>
      <c r="D381" s="12">
        <v>0</v>
      </c>
      <c r="J381" s="10">
        <f t="shared" si="11"/>
        <v>0</v>
      </c>
    </row>
    <row r="382" spans="1:10" x14ac:dyDescent="0.2">
      <c r="A382" s="4" t="s">
        <v>553</v>
      </c>
      <c r="B382" s="4" t="s">
        <v>687</v>
      </c>
      <c r="C382" s="17" t="str">
        <f t="shared" si="10"/>
        <v>IL</v>
      </c>
      <c r="D382" s="12">
        <v>0</v>
      </c>
      <c r="J382" s="10">
        <f t="shared" si="11"/>
        <v>0</v>
      </c>
    </row>
    <row r="383" spans="1:10" x14ac:dyDescent="0.2">
      <c r="A383" s="4" t="s">
        <v>554</v>
      </c>
      <c r="B383" s="4" t="s">
        <v>687</v>
      </c>
      <c r="C383" s="17" t="str">
        <f t="shared" si="10"/>
        <v>IL</v>
      </c>
      <c r="D383" s="12">
        <v>0</v>
      </c>
      <c r="J383" s="10">
        <f t="shared" si="11"/>
        <v>0</v>
      </c>
    </row>
    <row r="384" spans="1:10" x14ac:dyDescent="0.2">
      <c r="A384" s="4" t="s">
        <v>555</v>
      </c>
      <c r="B384" s="4" t="s">
        <v>687</v>
      </c>
      <c r="C384" s="17" t="str">
        <f t="shared" si="10"/>
        <v>IL</v>
      </c>
      <c r="D384" s="12">
        <v>0</v>
      </c>
      <c r="J384" s="10">
        <f t="shared" si="11"/>
        <v>0</v>
      </c>
    </row>
    <row r="385" spans="1:10" x14ac:dyDescent="0.2">
      <c r="A385" s="4" t="s">
        <v>556</v>
      </c>
      <c r="B385" s="4" t="s">
        <v>687</v>
      </c>
      <c r="C385" s="17" t="str">
        <f t="shared" si="10"/>
        <v>IL</v>
      </c>
      <c r="D385" s="12">
        <v>0</v>
      </c>
      <c r="J385" s="10">
        <f t="shared" si="11"/>
        <v>0</v>
      </c>
    </row>
    <row r="386" spans="1:10" x14ac:dyDescent="0.2">
      <c r="A386" s="4" t="s">
        <v>557</v>
      </c>
      <c r="B386" s="4" t="s">
        <v>687</v>
      </c>
      <c r="C386" s="17" t="str">
        <f t="shared" ref="C386:C449" si="12">VLOOKUP(B386, quota_order_numbers2, 6, FALSE)</f>
        <v>IL</v>
      </c>
      <c r="D386" s="12">
        <v>0</v>
      </c>
      <c r="J386" s="10">
        <f t="shared" ref="J386:J449" si="13">VLOOKUP(B386, quota_order_numbers2, 2, FALSE)</f>
        <v>0</v>
      </c>
    </row>
    <row r="387" spans="1:10" x14ac:dyDescent="0.2">
      <c r="A387" s="4" t="s">
        <v>558</v>
      </c>
      <c r="B387" s="4" t="s">
        <v>687</v>
      </c>
      <c r="C387" s="17" t="str">
        <f t="shared" si="12"/>
        <v>IL</v>
      </c>
      <c r="D387" s="12">
        <v>0</v>
      </c>
      <c r="J387" s="10">
        <f t="shared" si="13"/>
        <v>0</v>
      </c>
    </row>
    <row r="388" spans="1:10" x14ac:dyDescent="0.2">
      <c r="A388" s="4" t="s">
        <v>559</v>
      </c>
      <c r="B388" s="4" t="s">
        <v>687</v>
      </c>
      <c r="C388" s="17" t="str">
        <f t="shared" si="12"/>
        <v>IL</v>
      </c>
      <c r="D388" s="12">
        <v>0</v>
      </c>
      <c r="J388" s="10">
        <f t="shared" si="13"/>
        <v>0</v>
      </c>
    </row>
    <row r="389" spans="1:10" x14ac:dyDescent="0.2">
      <c r="A389" s="4" t="s">
        <v>560</v>
      </c>
      <c r="B389" s="4" t="s">
        <v>688</v>
      </c>
      <c r="C389" s="17" t="str">
        <f t="shared" si="12"/>
        <v>IL</v>
      </c>
      <c r="D389" s="12">
        <v>0</v>
      </c>
      <c r="J389" s="10">
        <f t="shared" si="13"/>
        <v>0</v>
      </c>
    </row>
    <row r="390" spans="1:10" x14ac:dyDescent="0.2">
      <c r="A390" s="4" t="s">
        <v>561</v>
      </c>
      <c r="B390" s="4" t="s">
        <v>688</v>
      </c>
      <c r="C390" s="17" t="str">
        <f t="shared" si="12"/>
        <v>IL</v>
      </c>
      <c r="D390" s="12">
        <v>0</v>
      </c>
      <c r="J390" s="10">
        <f t="shared" si="13"/>
        <v>0</v>
      </c>
    </row>
    <row r="391" spans="1:10" x14ac:dyDescent="0.2">
      <c r="A391" s="4" t="s">
        <v>562</v>
      </c>
      <c r="B391" s="4" t="s">
        <v>688</v>
      </c>
      <c r="C391" s="17" t="str">
        <f t="shared" si="12"/>
        <v>IL</v>
      </c>
      <c r="D391" s="12">
        <v>0</v>
      </c>
      <c r="J391" s="10">
        <f t="shared" si="13"/>
        <v>0</v>
      </c>
    </row>
    <row r="392" spans="1:10" x14ac:dyDescent="0.2">
      <c r="A392" s="4" t="s">
        <v>563</v>
      </c>
      <c r="B392" s="4" t="s">
        <v>688</v>
      </c>
      <c r="C392" s="17" t="str">
        <f t="shared" si="12"/>
        <v>IL</v>
      </c>
      <c r="D392" s="12">
        <v>0</v>
      </c>
      <c r="J392" s="10">
        <f t="shared" si="13"/>
        <v>0</v>
      </c>
    </row>
    <row r="393" spans="1:10" x14ac:dyDescent="0.2">
      <c r="A393" s="4" t="s">
        <v>564</v>
      </c>
      <c r="B393" s="4" t="s">
        <v>688</v>
      </c>
      <c r="C393" s="17" t="str">
        <f t="shared" si="12"/>
        <v>IL</v>
      </c>
      <c r="D393" s="12">
        <v>0</v>
      </c>
      <c r="J393" s="10">
        <f t="shared" si="13"/>
        <v>0</v>
      </c>
    </row>
    <row r="394" spans="1:10" x14ac:dyDescent="0.2">
      <c r="A394" s="4" t="s">
        <v>565</v>
      </c>
      <c r="B394" s="4" t="s">
        <v>688</v>
      </c>
      <c r="C394" s="17" t="str">
        <f t="shared" si="12"/>
        <v>IL</v>
      </c>
      <c r="D394" s="12">
        <v>0</v>
      </c>
      <c r="J394" s="10">
        <f t="shared" si="13"/>
        <v>0</v>
      </c>
    </row>
    <row r="395" spans="1:10" x14ac:dyDescent="0.2">
      <c r="A395" s="4" t="s">
        <v>566</v>
      </c>
      <c r="B395" s="4" t="s">
        <v>688</v>
      </c>
      <c r="C395" s="17" t="str">
        <f t="shared" si="12"/>
        <v>IL</v>
      </c>
      <c r="D395" s="12">
        <v>0</v>
      </c>
      <c r="J395" s="10">
        <f t="shared" si="13"/>
        <v>0</v>
      </c>
    </row>
    <row r="396" spans="1:10" x14ac:dyDescent="0.2">
      <c r="A396" s="4" t="s">
        <v>567</v>
      </c>
      <c r="B396" s="4" t="s">
        <v>688</v>
      </c>
      <c r="C396" s="17" t="str">
        <f t="shared" si="12"/>
        <v>IL</v>
      </c>
      <c r="D396" s="12">
        <v>0</v>
      </c>
      <c r="J396" s="10">
        <f t="shared" si="13"/>
        <v>0</v>
      </c>
    </row>
    <row r="397" spans="1:10" x14ac:dyDescent="0.2">
      <c r="A397" s="4" t="s">
        <v>568</v>
      </c>
      <c r="B397" s="4" t="s">
        <v>688</v>
      </c>
      <c r="C397" s="17" t="str">
        <f t="shared" si="12"/>
        <v>IL</v>
      </c>
      <c r="D397" s="12">
        <v>0</v>
      </c>
      <c r="J397" s="10">
        <f t="shared" si="13"/>
        <v>0</v>
      </c>
    </row>
    <row r="398" spans="1:10" x14ac:dyDescent="0.2">
      <c r="A398" s="4" t="s">
        <v>569</v>
      </c>
      <c r="B398" s="4" t="s">
        <v>688</v>
      </c>
      <c r="C398" s="17" t="str">
        <f t="shared" si="12"/>
        <v>IL</v>
      </c>
      <c r="D398" s="12">
        <v>0</v>
      </c>
      <c r="J398" s="10">
        <f t="shared" si="13"/>
        <v>0</v>
      </c>
    </row>
    <row r="399" spans="1:10" x14ac:dyDescent="0.2">
      <c r="A399" s="4" t="s">
        <v>570</v>
      </c>
      <c r="B399" s="4" t="s">
        <v>688</v>
      </c>
      <c r="C399" s="17" t="str">
        <f t="shared" si="12"/>
        <v>IL</v>
      </c>
      <c r="D399" s="12">
        <v>0</v>
      </c>
      <c r="J399" s="10">
        <f t="shared" si="13"/>
        <v>0</v>
      </c>
    </row>
    <row r="400" spans="1:10" x14ac:dyDescent="0.2">
      <c r="A400" s="4" t="s">
        <v>571</v>
      </c>
      <c r="B400" s="4" t="s">
        <v>688</v>
      </c>
      <c r="C400" s="17" t="str">
        <f t="shared" si="12"/>
        <v>IL</v>
      </c>
      <c r="D400" s="12">
        <v>0</v>
      </c>
      <c r="J400" s="10">
        <f t="shared" si="13"/>
        <v>0</v>
      </c>
    </row>
    <row r="401" spans="1:10" x14ac:dyDescent="0.2">
      <c r="A401" s="4" t="s">
        <v>572</v>
      </c>
      <c r="B401" s="4" t="s">
        <v>688</v>
      </c>
      <c r="C401" s="17" t="str">
        <f t="shared" si="12"/>
        <v>IL</v>
      </c>
      <c r="D401" s="12">
        <v>0</v>
      </c>
      <c r="J401" s="10">
        <f t="shared" si="13"/>
        <v>0</v>
      </c>
    </row>
    <row r="402" spans="1:10" x14ac:dyDescent="0.2">
      <c r="A402" s="4" t="s">
        <v>573</v>
      </c>
      <c r="B402" s="4" t="s">
        <v>688</v>
      </c>
      <c r="C402" s="17" t="str">
        <f t="shared" si="12"/>
        <v>IL</v>
      </c>
      <c r="D402" s="12">
        <v>0</v>
      </c>
      <c r="J402" s="10">
        <f t="shared" si="13"/>
        <v>0</v>
      </c>
    </row>
    <row r="403" spans="1:10" x14ac:dyDescent="0.2">
      <c r="A403" s="4" t="s">
        <v>574</v>
      </c>
      <c r="B403" s="4" t="s">
        <v>688</v>
      </c>
      <c r="C403" s="17" t="str">
        <f t="shared" si="12"/>
        <v>IL</v>
      </c>
      <c r="D403" s="12">
        <v>0</v>
      </c>
      <c r="J403" s="10">
        <f t="shared" si="13"/>
        <v>0</v>
      </c>
    </row>
    <row r="404" spans="1:10" x14ac:dyDescent="0.2">
      <c r="A404" s="4" t="s">
        <v>575</v>
      </c>
      <c r="B404" s="4" t="s">
        <v>688</v>
      </c>
      <c r="C404" s="17" t="str">
        <f t="shared" si="12"/>
        <v>IL</v>
      </c>
      <c r="D404" s="12">
        <v>0</v>
      </c>
      <c r="J404" s="10">
        <f t="shared" si="13"/>
        <v>0</v>
      </c>
    </row>
    <row r="405" spans="1:10" x14ac:dyDescent="0.2">
      <c r="A405" s="4" t="s">
        <v>576</v>
      </c>
      <c r="B405" s="4" t="s">
        <v>688</v>
      </c>
      <c r="C405" s="17" t="str">
        <f t="shared" si="12"/>
        <v>IL</v>
      </c>
      <c r="D405" s="12">
        <v>0</v>
      </c>
      <c r="J405" s="10">
        <f t="shared" si="13"/>
        <v>0</v>
      </c>
    </row>
    <row r="406" spans="1:10" x14ac:dyDescent="0.2">
      <c r="A406" s="4" t="s">
        <v>577</v>
      </c>
      <c r="B406" s="4" t="s">
        <v>688</v>
      </c>
      <c r="C406" s="17" t="str">
        <f t="shared" si="12"/>
        <v>IL</v>
      </c>
      <c r="D406" s="12">
        <v>0</v>
      </c>
      <c r="J406" s="10">
        <f t="shared" si="13"/>
        <v>0</v>
      </c>
    </row>
    <row r="407" spans="1:10" x14ac:dyDescent="0.2">
      <c r="A407" s="4" t="s">
        <v>578</v>
      </c>
      <c r="B407" s="4" t="s">
        <v>688</v>
      </c>
      <c r="C407" s="17" t="str">
        <f t="shared" si="12"/>
        <v>IL</v>
      </c>
      <c r="D407" s="12">
        <v>0</v>
      </c>
      <c r="J407" s="10">
        <f t="shared" si="13"/>
        <v>0</v>
      </c>
    </row>
    <row r="408" spans="1:10" x14ac:dyDescent="0.2">
      <c r="A408" s="4" t="s">
        <v>535</v>
      </c>
      <c r="B408" s="4" t="s">
        <v>689</v>
      </c>
      <c r="C408" s="17" t="str">
        <f t="shared" si="12"/>
        <v>IL</v>
      </c>
      <c r="D408" s="12">
        <v>0</v>
      </c>
      <c r="J408" s="10">
        <f t="shared" si="13"/>
        <v>0</v>
      </c>
    </row>
    <row r="409" spans="1:10" x14ac:dyDescent="0.2">
      <c r="A409" s="4" t="s">
        <v>537</v>
      </c>
      <c r="B409" s="4" t="s">
        <v>689</v>
      </c>
      <c r="C409" s="17" t="str">
        <f t="shared" si="12"/>
        <v>IL</v>
      </c>
      <c r="D409" s="12">
        <v>0</v>
      </c>
      <c r="J409" s="10">
        <f t="shared" si="13"/>
        <v>0</v>
      </c>
    </row>
    <row r="410" spans="1:10" x14ac:dyDescent="0.2">
      <c r="A410" s="4" t="s">
        <v>538</v>
      </c>
      <c r="B410" s="4" t="s">
        <v>689</v>
      </c>
      <c r="C410" s="17" t="str">
        <f t="shared" si="12"/>
        <v>IL</v>
      </c>
      <c r="D410" s="12">
        <v>0</v>
      </c>
      <c r="J410" s="10">
        <f t="shared" si="13"/>
        <v>0</v>
      </c>
    </row>
    <row r="411" spans="1:10" x14ac:dyDescent="0.2">
      <c r="A411" s="4" t="s">
        <v>579</v>
      </c>
      <c r="B411" s="4" t="s">
        <v>690</v>
      </c>
      <c r="C411" s="17" t="str">
        <f t="shared" si="12"/>
        <v>IL</v>
      </c>
      <c r="D411" s="12">
        <v>0</v>
      </c>
      <c r="J411" s="10">
        <f t="shared" si="13"/>
        <v>0</v>
      </c>
    </row>
    <row r="412" spans="1:10" x14ac:dyDescent="0.2">
      <c r="A412" s="4" t="s">
        <v>580</v>
      </c>
      <c r="B412" s="4" t="s">
        <v>691</v>
      </c>
      <c r="C412" s="17" t="str">
        <f t="shared" si="12"/>
        <v>IL</v>
      </c>
      <c r="D412" s="12">
        <v>6.58</v>
      </c>
      <c r="E412" s="12" t="s">
        <v>18</v>
      </c>
      <c r="F412" s="12" t="s">
        <v>17</v>
      </c>
      <c r="G412" s="5" t="s">
        <v>57</v>
      </c>
      <c r="J412" s="10">
        <f t="shared" si="13"/>
        <v>0</v>
      </c>
    </row>
    <row r="413" spans="1:10" x14ac:dyDescent="0.2">
      <c r="A413" s="4" t="s">
        <v>581</v>
      </c>
      <c r="B413" s="4" t="s">
        <v>691</v>
      </c>
      <c r="C413" s="17" t="str">
        <f t="shared" si="12"/>
        <v>IL</v>
      </c>
      <c r="D413" s="12">
        <v>6.58</v>
      </c>
      <c r="E413" s="12" t="s">
        <v>18</v>
      </c>
      <c r="F413" s="12" t="s">
        <v>17</v>
      </c>
      <c r="G413" s="5" t="s">
        <v>57</v>
      </c>
      <c r="J413" s="10">
        <f t="shared" si="13"/>
        <v>0</v>
      </c>
    </row>
    <row r="414" spans="1:10" x14ac:dyDescent="0.2">
      <c r="A414" s="4" t="s">
        <v>582</v>
      </c>
      <c r="B414" s="4" t="s">
        <v>692</v>
      </c>
      <c r="C414" s="17" t="str">
        <f t="shared" si="12"/>
        <v>IL</v>
      </c>
      <c r="D414" s="12">
        <v>6.58</v>
      </c>
      <c r="E414" s="12" t="s">
        <v>18</v>
      </c>
      <c r="F414" s="12" t="s">
        <v>17</v>
      </c>
      <c r="G414" s="5" t="s">
        <v>57</v>
      </c>
      <c r="J414" s="10">
        <f t="shared" si="13"/>
        <v>0</v>
      </c>
    </row>
    <row r="415" spans="1:10" x14ac:dyDescent="0.2">
      <c r="A415" s="4" t="s">
        <v>583</v>
      </c>
      <c r="B415" s="4" t="s">
        <v>692</v>
      </c>
      <c r="C415" s="17" t="str">
        <f t="shared" si="12"/>
        <v>IL</v>
      </c>
      <c r="D415" s="12">
        <v>6.58</v>
      </c>
      <c r="E415" s="12" t="s">
        <v>18</v>
      </c>
      <c r="F415" s="12" t="s">
        <v>17</v>
      </c>
      <c r="G415" s="5" t="s">
        <v>57</v>
      </c>
      <c r="J415" s="10">
        <f t="shared" si="13"/>
        <v>0</v>
      </c>
    </row>
    <row r="416" spans="1:10" x14ac:dyDescent="0.2">
      <c r="A416" s="4" t="s">
        <v>584</v>
      </c>
      <c r="B416" s="4" t="s">
        <v>692</v>
      </c>
      <c r="C416" s="17" t="str">
        <f t="shared" si="12"/>
        <v>IL</v>
      </c>
      <c r="D416" s="12">
        <v>6.58</v>
      </c>
      <c r="E416" s="12" t="s">
        <v>18</v>
      </c>
      <c r="F416" s="12" t="s">
        <v>17</v>
      </c>
      <c r="G416" s="5" t="s">
        <v>57</v>
      </c>
      <c r="J416" s="10">
        <f t="shared" si="13"/>
        <v>0</v>
      </c>
    </row>
    <row r="417" spans="1:10" x14ac:dyDescent="0.2">
      <c r="A417" s="4" t="s">
        <v>585</v>
      </c>
      <c r="B417" s="4" t="s">
        <v>693</v>
      </c>
      <c r="C417" s="17" t="str">
        <f t="shared" si="12"/>
        <v>IL</v>
      </c>
      <c r="D417" s="12">
        <v>0</v>
      </c>
      <c r="J417" s="10">
        <f t="shared" si="13"/>
        <v>0</v>
      </c>
    </row>
    <row r="418" spans="1:10" x14ac:dyDescent="0.2">
      <c r="A418" s="4" t="s">
        <v>241</v>
      </c>
      <c r="B418" s="4" t="s">
        <v>694</v>
      </c>
      <c r="C418" s="17" t="str">
        <f t="shared" si="12"/>
        <v>IL</v>
      </c>
      <c r="D418" s="12">
        <v>0</v>
      </c>
      <c r="J418" s="10">
        <f t="shared" si="13"/>
        <v>0</v>
      </c>
    </row>
    <row r="419" spans="1:10" x14ac:dyDescent="0.2">
      <c r="A419" s="4" t="s">
        <v>586</v>
      </c>
      <c r="B419" s="4" t="s">
        <v>695</v>
      </c>
      <c r="C419" s="17" t="str">
        <f t="shared" si="12"/>
        <v>IL</v>
      </c>
      <c r="D419" s="12">
        <v>0</v>
      </c>
      <c r="J419" s="10">
        <f t="shared" si="13"/>
        <v>0</v>
      </c>
    </row>
    <row r="420" spans="1:10" x14ac:dyDescent="0.2">
      <c r="A420" s="4" t="s">
        <v>587</v>
      </c>
      <c r="B420" s="4" t="s">
        <v>696</v>
      </c>
      <c r="C420" s="17" t="str">
        <f t="shared" si="12"/>
        <v>IL</v>
      </c>
      <c r="D420" s="12">
        <v>0</v>
      </c>
      <c r="J420" s="10">
        <f t="shared" si="13"/>
        <v>0</v>
      </c>
    </row>
    <row r="421" spans="1:10" x14ac:dyDescent="0.2">
      <c r="A421" s="4" t="s">
        <v>588</v>
      </c>
      <c r="B421" s="4" t="s">
        <v>696</v>
      </c>
      <c r="C421" s="17" t="str">
        <f t="shared" si="12"/>
        <v>IL</v>
      </c>
      <c r="D421" s="12">
        <v>0</v>
      </c>
      <c r="J421" s="10">
        <f t="shared" si="13"/>
        <v>0</v>
      </c>
    </row>
    <row r="422" spans="1:10" x14ac:dyDescent="0.2">
      <c r="A422" s="4" t="s">
        <v>589</v>
      </c>
      <c r="B422" s="4" t="s">
        <v>696</v>
      </c>
      <c r="C422" s="17" t="str">
        <f t="shared" si="12"/>
        <v>IL</v>
      </c>
      <c r="D422" s="12">
        <v>0</v>
      </c>
      <c r="J422" s="10">
        <f t="shared" si="13"/>
        <v>0</v>
      </c>
    </row>
    <row r="423" spans="1:10" x14ac:dyDescent="0.2">
      <c r="A423" s="4" t="s">
        <v>587</v>
      </c>
      <c r="B423" s="4" t="s">
        <v>697</v>
      </c>
      <c r="C423" s="17" t="str">
        <f t="shared" si="12"/>
        <v>IL</v>
      </c>
      <c r="D423" s="12">
        <v>0</v>
      </c>
      <c r="J423" s="10">
        <f t="shared" si="13"/>
        <v>0</v>
      </c>
    </row>
    <row r="424" spans="1:10" x14ac:dyDescent="0.2">
      <c r="A424" s="4" t="s">
        <v>588</v>
      </c>
      <c r="B424" s="4" t="s">
        <v>697</v>
      </c>
      <c r="C424" s="17" t="str">
        <f t="shared" si="12"/>
        <v>IL</v>
      </c>
      <c r="D424" s="12">
        <v>0</v>
      </c>
      <c r="J424" s="10">
        <f t="shared" si="13"/>
        <v>0</v>
      </c>
    </row>
    <row r="425" spans="1:10" x14ac:dyDescent="0.2">
      <c r="A425" s="4" t="s">
        <v>589</v>
      </c>
      <c r="B425" s="4" t="s">
        <v>697</v>
      </c>
      <c r="C425" s="17" t="str">
        <f t="shared" si="12"/>
        <v>IL</v>
      </c>
      <c r="D425" s="12">
        <v>0</v>
      </c>
      <c r="J425" s="10">
        <f t="shared" si="13"/>
        <v>0</v>
      </c>
    </row>
    <row r="426" spans="1:10" x14ac:dyDescent="0.2">
      <c r="A426" s="4" t="s">
        <v>590</v>
      </c>
      <c r="B426" s="4" t="s">
        <v>698</v>
      </c>
      <c r="C426" s="17" t="str">
        <f t="shared" si="12"/>
        <v>IL</v>
      </c>
      <c r="D426" s="12">
        <v>0</v>
      </c>
      <c r="J426" s="10">
        <f t="shared" si="13"/>
        <v>0</v>
      </c>
    </row>
    <row r="427" spans="1:10" x14ac:dyDescent="0.2">
      <c r="A427" s="4" t="s">
        <v>591</v>
      </c>
      <c r="B427" s="4" t="s">
        <v>698</v>
      </c>
      <c r="C427" s="17" t="str">
        <f t="shared" si="12"/>
        <v>IL</v>
      </c>
      <c r="D427" s="12">
        <v>0</v>
      </c>
      <c r="J427" s="10">
        <f t="shared" si="13"/>
        <v>0</v>
      </c>
    </row>
    <row r="428" spans="1:10" x14ac:dyDescent="0.2">
      <c r="A428" s="4" t="s">
        <v>592</v>
      </c>
      <c r="B428" s="4" t="s">
        <v>699</v>
      </c>
      <c r="C428" s="17" t="str">
        <f t="shared" si="12"/>
        <v>IL</v>
      </c>
      <c r="D428" s="12">
        <v>0</v>
      </c>
      <c r="J428" s="10">
        <f t="shared" si="13"/>
        <v>0</v>
      </c>
    </row>
    <row r="429" spans="1:10" x14ac:dyDescent="0.2">
      <c r="A429" s="4" t="s">
        <v>593</v>
      </c>
      <c r="B429" s="4" t="s">
        <v>699</v>
      </c>
      <c r="C429" s="17" t="str">
        <f t="shared" si="12"/>
        <v>IL</v>
      </c>
      <c r="D429" s="12">
        <v>0</v>
      </c>
      <c r="J429" s="10">
        <f t="shared" si="13"/>
        <v>0</v>
      </c>
    </row>
    <row r="430" spans="1:10" x14ac:dyDescent="0.2">
      <c r="A430" s="4" t="s">
        <v>594</v>
      </c>
      <c r="B430" s="4" t="s">
        <v>700</v>
      </c>
      <c r="C430" s="17" t="str">
        <f t="shared" si="12"/>
        <v>IL</v>
      </c>
      <c r="D430" s="12">
        <v>0</v>
      </c>
      <c r="J430" s="10">
        <f t="shared" si="13"/>
        <v>0</v>
      </c>
    </row>
    <row r="431" spans="1:10" x14ac:dyDescent="0.2">
      <c r="A431" s="4" t="s">
        <v>595</v>
      </c>
      <c r="B431" s="4" t="s">
        <v>701</v>
      </c>
      <c r="C431" s="17" t="str">
        <f t="shared" si="12"/>
        <v>IL</v>
      </c>
      <c r="D431" s="12">
        <v>21.42</v>
      </c>
      <c r="E431" s="12" t="s">
        <v>18</v>
      </c>
      <c r="F431" s="12" t="s">
        <v>17</v>
      </c>
      <c r="J431" s="10">
        <f t="shared" si="13"/>
        <v>0</v>
      </c>
    </row>
    <row r="432" spans="1:10" x14ac:dyDescent="0.2">
      <c r="A432" s="4" t="s">
        <v>596</v>
      </c>
      <c r="B432" s="4" t="s">
        <v>701</v>
      </c>
      <c r="C432" s="17" t="str">
        <f t="shared" si="12"/>
        <v>IL</v>
      </c>
      <c r="D432" s="12">
        <v>26.69</v>
      </c>
      <c r="E432" s="12" t="s">
        <v>18</v>
      </c>
      <c r="F432" s="12" t="s">
        <v>17</v>
      </c>
      <c r="J432" s="10">
        <f t="shared" si="13"/>
        <v>0</v>
      </c>
    </row>
    <row r="433" spans="1:10" x14ac:dyDescent="0.2">
      <c r="A433" s="4" t="s">
        <v>597</v>
      </c>
      <c r="B433" s="4" t="s">
        <v>701</v>
      </c>
      <c r="C433" s="17" t="str">
        <f t="shared" si="12"/>
        <v>IL</v>
      </c>
      <c r="D433" s="12">
        <v>35.619999999999997</v>
      </c>
      <c r="E433" s="12" t="s">
        <v>18</v>
      </c>
      <c r="F433" s="12" t="s">
        <v>17</v>
      </c>
      <c r="J433" s="10">
        <f t="shared" si="13"/>
        <v>0</v>
      </c>
    </row>
    <row r="434" spans="1:10" x14ac:dyDescent="0.2">
      <c r="A434" s="4" t="s">
        <v>598</v>
      </c>
      <c r="B434" s="4" t="s">
        <v>701</v>
      </c>
      <c r="C434" s="17" t="str">
        <f t="shared" si="12"/>
        <v>IL</v>
      </c>
      <c r="D434" s="12">
        <v>0</v>
      </c>
      <c r="J434" s="10">
        <f t="shared" si="13"/>
        <v>0</v>
      </c>
    </row>
    <row r="435" spans="1:10" x14ac:dyDescent="0.2">
      <c r="A435" s="4" t="s">
        <v>599</v>
      </c>
      <c r="B435" s="4" t="s">
        <v>701</v>
      </c>
      <c r="C435" s="17" t="str">
        <f t="shared" si="12"/>
        <v>IL</v>
      </c>
      <c r="D435" s="12">
        <v>0</v>
      </c>
      <c r="J435" s="10">
        <f t="shared" si="13"/>
        <v>0</v>
      </c>
    </row>
    <row r="436" spans="1:10" x14ac:dyDescent="0.2">
      <c r="A436" s="4" t="s">
        <v>600</v>
      </c>
      <c r="B436" s="4" t="s">
        <v>701</v>
      </c>
      <c r="C436" s="17" t="str">
        <f t="shared" si="12"/>
        <v>IL</v>
      </c>
      <c r="D436" s="12">
        <v>0</v>
      </c>
      <c r="J436" s="10">
        <f t="shared" si="13"/>
        <v>0</v>
      </c>
    </row>
    <row r="437" spans="1:10" x14ac:dyDescent="0.2">
      <c r="A437" s="4" t="s">
        <v>601</v>
      </c>
      <c r="B437" s="4" t="s">
        <v>701</v>
      </c>
      <c r="C437" s="17" t="str">
        <f t="shared" si="12"/>
        <v>IL</v>
      </c>
      <c r="D437" s="12">
        <v>0</v>
      </c>
      <c r="J437" s="10">
        <f t="shared" si="13"/>
        <v>0</v>
      </c>
    </row>
    <row r="438" spans="1:10" x14ac:dyDescent="0.2">
      <c r="A438" s="4" t="s">
        <v>602</v>
      </c>
      <c r="B438" s="4" t="s">
        <v>701</v>
      </c>
      <c r="C438" s="17" t="str">
        <f t="shared" si="12"/>
        <v>IL</v>
      </c>
      <c r="D438" s="12">
        <v>0</v>
      </c>
      <c r="J438" s="10">
        <f t="shared" si="13"/>
        <v>0</v>
      </c>
    </row>
    <row r="439" spans="1:10" x14ac:dyDescent="0.2">
      <c r="A439" s="4" t="s">
        <v>603</v>
      </c>
      <c r="B439" s="4" t="s">
        <v>701</v>
      </c>
      <c r="C439" s="17" t="str">
        <f t="shared" si="12"/>
        <v>IL</v>
      </c>
      <c r="D439" s="12">
        <v>0</v>
      </c>
      <c r="J439" s="10">
        <f t="shared" si="13"/>
        <v>0</v>
      </c>
    </row>
    <row r="440" spans="1:10" x14ac:dyDescent="0.2">
      <c r="A440" s="4" t="s">
        <v>604</v>
      </c>
      <c r="B440" s="4" t="s">
        <v>702</v>
      </c>
      <c r="C440" s="17" t="str">
        <f t="shared" si="12"/>
        <v>IL</v>
      </c>
      <c r="D440" s="12">
        <v>17.22</v>
      </c>
      <c r="E440" s="12" t="s">
        <v>18</v>
      </c>
      <c r="F440" s="12" t="s">
        <v>17</v>
      </c>
      <c r="J440" s="10">
        <f t="shared" si="13"/>
        <v>0</v>
      </c>
    </row>
    <row r="441" spans="1:10" x14ac:dyDescent="0.2">
      <c r="A441" s="4" t="s">
        <v>605</v>
      </c>
      <c r="B441" s="4" t="s">
        <v>702</v>
      </c>
      <c r="C441" s="17" t="str">
        <f t="shared" si="12"/>
        <v>IL</v>
      </c>
      <c r="D441" s="12">
        <v>21.98</v>
      </c>
      <c r="E441" s="12" t="s">
        <v>18</v>
      </c>
      <c r="F441" s="12" t="s">
        <v>17</v>
      </c>
      <c r="J441" s="10">
        <f t="shared" si="13"/>
        <v>0</v>
      </c>
    </row>
    <row r="442" spans="1:10" x14ac:dyDescent="0.2">
      <c r="A442" s="4" t="s">
        <v>606</v>
      </c>
      <c r="B442" s="4" t="s">
        <v>703</v>
      </c>
      <c r="C442" s="17" t="str">
        <f t="shared" si="12"/>
        <v>IL</v>
      </c>
      <c r="D442" s="12">
        <v>0</v>
      </c>
      <c r="J442" s="10">
        <f t="shared" si="13"/>
        <v>0</v>
      </c>
    </row>
    <row r="443" spans="1:10" x14ac:dyDescent="0.2">
      <c r="A443" s="4" t="s">
        <v>607</v>
      </c>
      <c r="B443" s="4" t="s">
        <v>703</v>
      </c>
      <c r="C443" s="17" t="str">
        <f t="shared" si="12"/>
        <v>IL</v>
      </c>
      <c r="D443" s="12">
        <v>0</v>
      </c>
      <c r="J443" s="10">
        <f t="shared" si="13"/>
        <v>0</v>
      </c>
    </row>
    <row r="444" spans="1:10" x14ac:dyDescent="0.2">
      <c r="A444" s="4" t="s">
        <v>608</v>
      </c>
      <c r="B444" s="4" t="s">
        <v>704</v>
      </c>
      <c r="C444" s="17" t="str">
        <f t="shared" si="12"/>
        <v>IL</v>
      </c>
      <c r="D444" s="12">
        <v>0</v>
      </c>
      <c r="J444" s="10">
        <f t="shared" si="13"/>
        <v>0</v>
      </c>
    </row>
    <row r="445" spans="1:10" x14ac:dyDescent="0.2">
      <c r="A445" s="4" t="s">
        <v>609</v>
      </c>
      <c r="B445" s="4" t="s">
        <v>705</v>
      </c>
      <c r="C445" s="17" t="str">
        <f t="shared" si="12"/>
        <v>IL</v>
      </c>
      <c r="D445" s="12">
        <v>0</v>
      </c>
      <c r="J445" s="10">
        <f t="shared" si="13"/>
        <v>0</v>
      </c>
    </row>
    <row r="446" spans="1:10" x14ac:dyDescent="0.2">
      <c r="A446" s="4" t="s">
        <v>610</v>
      </c>
      <c r="B446" s="4" t="s">
        <v>705</v>
      </c>
      <c r="C446" s="17" t="str">
        <f t="shared" si="12"/>
        <v>IL</v>
      </c>
      <c r="D446" s="12">
        <v>0</v>
      </c>
      <c r="J446" s="10">
        <f t="shared" si="13"/>
        <v>0</v>
      </c>
    </row>
    <row r="447" spans="1:10" x14ac:dyDescent="0.2">
      <c r="A447" s="4" t="s">
        <v>611</v>
      </c>
      <c r="B447" s="4" t="s">
        <v>705</v>
      </c>
      <c r="C447" s="17" t="str">
        <f t="shared" si="12"/>
        <v>IL</v>
      </c>
      <c r="D447" s="12">
        <v>0</v>
      </c>
      <c r="J447" s="10">
        <f t="shared" si="13"/>
        <v>0</v>
      </c>
    </row>
    <row r="448" spans="1:10" x14ac:dyDescent="0.2">
      <c r="A448" s="4" t="s">
        <v>612</v>
      </c>
      <c r="B448" s="4" t="s">
        <v>705</v>
      </c>
      <c r="C448" s="17" t="str">
        <f t="shared" si="12"/>
        <v>IL</v>
      </c>
      <c r="D448" s="12">
        <v>0</v>
      </c>
      <c r="J448" s="10">
        <f t="shared" si="13"/>
        <v>0</v>
      </c>
    </row>
    <row r="449" spans="1:10" x14ac:dyDescent="0.2">
      <c r="A449" s="4" t="s">
        <v>613</v>
      </c>
      <c r="B449" s="4" t="s">
        <v>705</v>
      </c>
      <c r="C449" s="17" t="str">
        <f t="shared" si="12"/>
        <v>IL</v>
      </c>
      <c r="D449" s="12">
        <v>0</v>
      </c>
      <c r="J449" s="10">
        <f t="shared" si="13"/>
        <v>0</v>
      </c>
    </row>
    <row r="450" spans="1:10" x14ac:dyDescent="0.2">
      <c r="A450" s="4" t="s">
        <v>614</v>
      </c>
      <c r="B450" s="4" t="s">
        <v>705</v>
      </c>
      <c r="C450" s="17" t="str">
        <f t="shared" ref="C450:C513" si="14">VLOOKUP(B450, quota_order_numbers2, 6, FALSE)</f>
        <v>IL</v>
      </c>
      <c r="D450" s="12">
        <v>0</v>
      </c>
      <c r="J450" s="10">
        <f t="shared" ref="J450:J513" si="15">VLOOKUP(B450, quota_order_numbers2, 2, FALSE)</f>
        <v>0</v>
      </c>
    </row>
    <row r="451" spans="1:10" x14ac:dyDescent="0.2">
      <c r="A451" s="4" t="s">
        <v>615</v>
      </c>
      <c r="B451" s="4" t="s">
        <v>705</v>
      </c>
      <c r="C451" s="17" t="str">
        <f t="shared" si="14"/>
        <v>IL</v>
      </c>
      <c r="D451" s="12">
        <v>0</v>
      </c>
      <c r="J451" s="10">
        <f t="shared" si="15"/>
        <v>0</v>
      </c>
    </row>
    <row r="452" spans="1:10" x14ac:dyDescent="0.2">
      <c r="A452" s="4" t="s">
        <v>616</v>
      </c>
      <c r="B452" s="4" t="s">
        <v>705</v>
      </c>
      <c r="C452" s="17" t="str">
        <f t="shared" si="14"/>
        <v>IL</v>
      </c>
      <c r="D452" s="12">
        <v>0</v>
      </c>
      <c r="J452" s="10">
        <f t="shared" si="15"/>
        <v>0</v>
      </c>
    </row>
    <row r="453" spans="1:10" x14ac:dyDescent="0.2">
      <c r="A453" s="4" t="s">
        <v>617</v>
      </c>
      <c r="B453" s="4" t="s">
        <v>706</v>
      </c>
      <c r="C453" s="17" t="str">
        <f t="shared" si="14"/>
        <v>IL</v>
      </c>
      <c r="D453" s="12">
        <v>0</v>
      </c>
      <c r="J453" s="10">
        <f t="shared" si="15"/>
        <v>0</v>
      </c>
    </row>
    <row r="454" spans="1:10" x14ac:dyDescent="0.2">
      <c r="A454" s="4" t="s">
        <v>618</v>
      </c>
      <c r="B454" s="4" t="s">
        <v>706</v>
      </c>
      <c r="C454" s="17" t="str">
        <f t="shared" si="14"/>
        <v>IL</v>
      </c>
      <c r="D454" s="12">
        <v>0</v>
      </c>
      <c r="J454" s="10">
        <f t="shared" si="15"/>
        <v>0</v>
      </c>
    </row>
    <row r="455" spans="1:10" x14ac:dyDescent="0.2">
      <c r="A455" s="4" t="s">
        <v>619</v>
      </c>
      <c r="B455" s="4" t="s">
        <v>706</v>
      </c>
      <c r="C455" s="17" t="str">
        <f t="shared" si="14"/>
        <v>IL</v>
      </c>
      <c r="D455" s="12">
        <v>0</v>
      </c>
      <c r="J455" s="10">
        <f t="shared" si="15"/>
        <v>0</v>
      </c>
    </row>
    <row r="456" spans="1:10" x14ac:dyDescent="0.2">
      <c r="A456" s="4" t="s">
        <v>620</v>
      </c>
      <c r="B456" s="4" t="s">
        <v>706</v>
      </c>
      <c r="C456" s="17" t="str">
        <f t="shared" si="14"/>
        <v>IL</v>
      </c>
      <c r="D456" s="12">
        <v>0</v>
      </c>
      <c r="J456" s="10">
        <f t="shared" si="15"/>
        <v>0</v>
      </c>
    </row>
    <row r="457" spans="1:10" x14ac:dyDescent="0.2">
      <c r="A457" s="4" t="s">
        <v>621</v>
      </c>
      <c r="B457" s="4" t="s">
        <v>706</v>
      </c>
      <c r="C457" s="17" t="str">
        <f t="shared" si="14"/>
        <v>IL</v>
      </c>
      <c r="D457" s="12">
        <v>0</v>
      </c>
      <c r="J457" s="10">
        <f t="shared" si="15"/>
        <v>0</v>
      </c>
    </row>
    <row r="458" spans="1:10" x14ac:dyDescent="0.2">
      <c r="A458" s="4" t="s">
        <v>622</v>
      </c>
      <c r="B458" s="4" t="s">
        <v>706</v>
      </c>
      <c r="C458" s="17" t="str">
        <f t="shared" si="14"/>
        <v>IL</v>
      </c>
      <c r="D458" s="12">
        <v>0</v>
      </c>
      <c r="J458" s="10">
        <f t="shared" si="15"/>
        <v>0</v>
      </c>
    </row>
    <row r="459" spans="1:10" x14ac:dyDescent="0.2">
      <c r="A459" s="4" t="s">
        <v>623</v>
      </c>
      <c r="B459" s="4" t="s">
        <v>706</v>
      </c>
      <c r="C459" s="17" t="str">
        <f t="shared" si="14"/>
        <v>IL</v>
      </c>
      <c r="D459" s="12">
        <v>0</v>
      </c>
      <c r="J459" s="10">
        <f t="shared" si="15"/>
        <v>0</v>
      </c>
    </row>
    <row r="460" spans="1:10" x14ac:dyDescent="0.2">
      <c r="A460" s="4" t="s">
        <v>624</v>
      </c>
      <c r="B460" s="4" t="s">
        <v>706</v>
      </c>
      <c r="C460" s="17" t="str">
        <f t="shared" si="14"/>
        <v>IL</v>
      </c>
      <c r="D460" s="12">
        <v>0</v>
      </c>
      <c r="J460" s="10">
        <f t="shared" si="15"/>
        <v>0</v>
      </c>
    </row>
    <row r="461" spans="1:10" x14ac:dyDescent="0.2">
      <c r="A461" s="4" t="s">
        <v>625</v>
      </c>
      <c r="B461" s="4" t="s">
        <v>706</v>
      </c>
      <c r="C461" s="17" t="str">
        <f t="shared" si="14"/>
        <v>IL</v>
      </c>
      <c r="D461" s="12">
        <v>0</v>
      </c>
      <c r="J461" s="10">
        <f t="shared" si="15"/>
        <v>0</v>
      </c>
    </row>
    <row r="462" spans="1:10" x14ac:dyDescent="0.2">
      <c r="A462" s="4" t="s">
        <v>626</v>
      </c>
      <c r="B462" s="4" t="s">
        <v>706</v>
      </c>
      <c r="C462" s="17" t="str">
        <f t="shared" si="14"/>
        <v>IL</v>
      </c>
      <c r="D462" s="12">
        <v>0</v>
      </c>
      <c r="J462" s="10">
        <f t="shared" si="15"/>
        <v>0</v>
      </c>
    </row>
    <row r="463" spans="1:10" x14ac:dyDescent="0.2">
      <c r="A463" s="4" t="s">
        <v>627</v>
      </c>
      <c r="B463" s="4" t="s">
        <v>706</v>
      </c>
      <c r="C463" s="17" t="str">
        <f t="shared" si="14"/>
        <v>IL</v>
      </c>
      <c r="D463" s="12">
        <v>0</v>
      </c>
      <c r="J463" s="10">
        <f t="shared" si="15"/>
        <v>0</v>
      </c>
    </row>
    <row r="464" spans="1:10" x14ac:dyDescent="0.2">
      <c r="A464" s="4" t="s">
        <v>628</v>
      </c>
      <c r="B464" s="4" t="s">
        <v>706</v>
      </c>
      <c r="C464" s="17" t="str">
        <f t="shared" si="14"/>
        <v>IL</v>
      </c>
      <c r="D464" s="12">
        <v>0</v>
      </c>
      <c r="J464" s="10">
        <f t="shared" si="15"/>
        <v>0</v>
      </c>
    </row>
    <row r="465" spans="1:10" x14ac:dyDescent="0.2">
      <c r="A465" s="4" t="s">
        <v>629</v>
      </c>
      <c r="B465" s="4" t="s">
        <v>706</v>
      </c>
      <c r="C465" s="17" t="str">
        <f t="shared" si="14"/>
        <v>IL</v>
      </c>
      <c r="D465" s="12">
        <v>0</v>
      </c>
      <c r="J465" s="10">
        <f t="shared" si="15"/>
        <v>0</v>
      </c>
    </row>
    <row r="466" spans="1:10" x14ac:dyDescent="0.2">
      <c r="A466" s="4" t="s">
        <v>630</v>
      </c>
      <c r="B466" s="4" t="s">
        <v>706</v>
      </c>
      <c r="C466" s="17" t="str">
        <f t="shared" si="14"/>
        <v>IL</v>
      </c>
      <c r="D466" s="12">
        <v>0</v>
      </c>
      <c r="J466" s="10">
        <f t="shared" si="15"/>
        <v>0</v>
      </c>
    </row>
    <row r="467" spans="1:10" x14ac:dyDescent="0.2">
      <c r="A467" s="4" t="s">
        <v>631</v>
      </c>
      <c r="B467" s="4" t="s">
        <v>706</v>
      </c>
      <c r="C467" s="17" t="str">
        <f t="shared" si="14"/>
        <v>IL</v>
      </c>
      <c r="D467" s="12">
        <v>0</v>
      </c>
      <c r="J467" s="10">
        <f t="shared" si="15"/>
        <v>0</v>
      </c>
    </row>
    <row r="468" spans="1:10" x14ac:dyDescent="0.2">
      <c r="A468" s="4" t="s">
        <v>632</v>
      </c>
      <c r="B468" s="4" t="s">
        <v>706</v>
      </c>
      <c r="C468" s="17" t="str">
        <f t="shared" si="14"/>
        <v>IL</v>
      </c>
      <c r="D468" s="12">
        <v>0</v>
      </c>
      <c r="J468" s="10">
        <f t="shared" si="15"/>
        <v>0</v>
      </c>
    </row>
    <row r="469" spans="1:10" x14ac:dyDescent="0.2">
      <c r="A469" s="4" t="s">
        <v>633</v>
      </c>
      <c r="B469" s="4" t="s">
        <v>706</v>
      </c>
      <c r="C469" s="17" t="str">
        <f t="shared" si="14"/>
        <v>IL</v>
      </c>
      <c r="D469" s="12">
        <v>0</v>
      </c>
      <c r="J469" s="10">
        <f t="shared" si="15"/>
        <v>0</v>
      </c>
    </row>
    <row r="470" spans="1:10" x14ac:dyDescent="0.2">
      <c r="A470" s="4" t="s">
        <v>634</v>
      </c>
      <c r="B470" s="4" t="s">
        <v>706</v>
      </c>
      <c r="C470" s="17" t="str">
        <f t="shared" si="14"/>
        <v>IL</v>
      </c>
      <c r="D470" s="12">
        <v>0</v>
      </c>
      <c r="J470" s="10">
        <f t="shared" si="15"/>
        <v>0</v>
      </c>
    </row>
    <row r="471" spans="1:10" x14ac:dyDescent="0.2">
      <c r="A471" s="4" t="s">
        <v>635</v>
      </c>
      <c r="B471" s="4" t="s">
        <v>706</v>
      </c>
      <c r="C471" s="17" t="str">
        <f t="shared" si="14"/>
        <v>IL</v>
      </c>
      <c r="D471" s="12">
        <v>0</v>
      </c>
      <c r="J471" s="10">
        <f t="shared" si="15"/>
        <v>0</v>
      </c>
    </row>
    <row r="472" spans="1:10" x14ac:dyDescent="0.2">
      <c r="A472" s="4" t="s">
        <v>636</v>
      </c>
      <c r="B472" s="4" t="s">
        <v>706</v>
      </c>
      <c r="C472" s="17" t="str">
        <f t="shared" si="14"/>
        <v>IL</v>
      </c>
      <c r="D472" s="12">
        <v>0</v>
      </c>
      <c r="J472" s="10">
        <f t="shared" si="15"/>
        <v>0</v>
      </c>
    </row>
    <row r="473" spans="1:10" x14ac:dyDescent="0.2">
      <c r="A473" s="4" t="s">
        <v>637</v>
      </c>
      <c r="B473" s="4" t="s">
        <v>706</v>
      </c>
      <c r="C473" s="17" t="str">
        <f t="shared" si="14"/>
        <v>IL</v>
      </c>
      <c r="D473" s="12">
        <v>0</v>
      </c>
      <c r="J473" s="10">
        <f t="shared" si="15"/>
        <v>0</v>
      </c>
    </row>
    <row r="474" spans="1:10" x14ac:dyDescent="0.2">
      <c r="A474" s="4" t="s">
        <v>638</v>
      </c>
      <c r="B474" s="4" t="s">
        <v>706</v>
      </c>
      <c r="C474" s="17" t="str">
        <f t="shared" si="14"/>
        <v>IL</v>
      </c>
      <c r="D474" s="12">
        <v>0</v>
      </c>
      <c r="J474" s="10">
        <f t="shared" si="15"/>
        <v>0</v>
      </c>
    </row>
    <row r="475" spans="1:10" x14ac:dyDescent="0.2">
      <c r="A475" s="4" t="s">
        <v>639</v>
      </c>
      <c r="B475" s="4" t="s">
        <v>706</v>
      </c>
      <c r="C475" s="17" t="str">
        <f t="shared" si="14"/>
        <v>IL</v>
      </c>
      <c r="D475" s="12">
        <v>0</v>
      </c>
      <c r="J475" s="10">
        <f t="shared" si="15"/>
        <v>0</v>
      </c>
    </row>
    <row r="476" spans="1:10" x14ac:dyDescent="0.2">
      <c r="A476" s="4" t="s">
        <v>640</v>
      </c>
      <c r="B476" s="4" t="s">
        <v>706</v>
      </c>
      <c r="C476" s="17" t="str">
        <f t="shared" si="14"/>
        <v>IL</v>
      </c>
      <c r="D476" s="12">
        <v>0</v>
      </c>
      <c r="J476" s="10">
        <f t="shared" si="15"/>
        <v>0</v>
      </c>
    </row>
    <row r="477" spans="1:10" x14ac:dyDescent="0.2">
      <c r="A477" s="4" t="s">
        <v>641</v>
      </c>
      <c r="B477" s="4" t="s">
        <v>706</v>
      </c>
      <c r="C477" s="17" t="str">
        <f t="shared" si="14"/>
        <v>IL</v>
      </c>
      <c r="D477" s="12">
        <v>0</v>
      </c>
      <c r="J477" s="10">
        <f t="shared" si="15"/>
        <v>0</v>
      </c>
    </row>
    <row r="478" spans="1:10" x14ac:dyDescent="0.2">
      <c r="A478" s="4" t="s">
        <v>642</v>
      </c>
      <c r="B478" s="4" t="s">
        <v>706</v>
      </c>
      <c r="C478" s="17" t="str">
        <f t="shared" si="14"/>
        <v>IL</v>
      </c>
      <c r="D478" s="12">
        <v>0</v>
      </c>
      <c r="J478" s="10">
        <f t="shared" si="15"/>
        <v>0</v>
      </c>
    </row>
    <row r="479" spans="1:10" x14ac:dyDescent="0.2">
      <c r="A479" s="4" t="s">
        <v>643</v>
      </c>
      <c r="B479" s="4" t="s">
        <v>706</v>
      </c>
      <c r="C479" s="17" t="str">
        <f t="shared" si="14"/>
        <v>IL</v>
      </c>
      <c r="D479" s="12">
        <v>0</v>
      </c>
      <c r="J479" s="10">
        <f t="shared" si="15"/>
        <v>0</v>
      </c>
    </row>
    <row r="480" spans="1:10" x14ac:dyDescent="0.2">
      <c r="A480" s="4" t="s">
        <v>644</v>
      </c>
      <c r="B480" s="4" t="s">
        <v>706</v>
      </c>
      <c r="C480" s="17" t="str">
        <f t="shared" si="14"/>
        <v>IL</v>
      </c>
      <c r="D480" s="12">
        <v>0</v>
      </c>
      <c r="J480" s="10">
        <f t="shared" si="15"/>
        <v>0</v>
      </c>
    </row>
    <row r="481" spans="1:10" x14ac:dyDescent="0.2">
      <c r="A481" s="4" t="s">
        <v>645</v>
      </c>
      <c r="B481" s="4" t="s">
        <v>706</v>
      </c>
      <c r="C481" s="17" t="str">
        <f t="shared" si="14"/>
        <v>IL</v>
      </c>
      <c r="D481" s="12">
        <v>0</v>
      </c>
      <c r="J481" s="10">
        <f t="shared" si="15"/>
        <v>0</v>
      </c>
    </row>
    <row r="482" spans="1:10" x14ac:dyDescent="0.2">
      <c r="A482" s="4" t="s">
        <v>646</v>
      </c>
      <c r="B482" s="4" t="s">
        <v>706</v>
      </c>
      <c r="C482" s="17" t="str">
        <f t="shared" si="14"/>
        <v>IL</v>
      </c>
      <c r="D482" s="12">
        <v>0</v>
      </c>
      <c r="J482" s="10">
        <f t="shared" si="15"/>
        <v>0</v>
      </c>
    </row>
    <row r="483" spans="1:10" x14ac:dyDescent="0.2">
      <c r="A483" s="4" t="s">
        <v>647</v>
      </c>
      <c r="B483" s="4" t="s">
        <v>707</v>
      </c>
      <c r="C483" s="17" t="str">
        <f t="shared" si="14"/>
        <v>IL</v>
      </c>
      <c r="D483" s="12">
        <v>0</v>
      </c>
      <c r="J483" s="10">
        <f t="shared" si="15"/>
        <v>0</v>
      </c>
    </row>
    <row r="484" spans="1:10" x14ac:dyDescent="0.2">
      <c r="A484" s="4" t="s">
        <v>270</v>
      </c>
      <c r="B484" s="4" t="s">
        <v>708</v>
      </c>
      <c r="C484" s="17" t="str">
        <f t="shared" si="14"/>
        <v>IL</v>
      </c>
      <c r="D484" s="12">
        <v>0</v>
      </c>
      <c r="J484" s="10">
        <f t="shared" si="15"/>
        <v>0</v>
      </c>
    </row>
    <row r="485" spans="1:10" x14ac:dyDescent="0.2">
      <c r="A485" s="4" t="s">
        <v>648</v>
      </c>
      <c r="B485" s="4" t="s">
        <v>709</v>
      </c>
      <c r="C485" s="17" t="str">
        <f t="shared" si="14"/>
        <v>IL</v>
      </c>
      <c r="D485" s="12">
        <v>0</v>
      </c>
      <c r="J485" s="10">
        <f t="shared" si="15"/>
        <v>0</v>
      </c>
    </row>
    <row r="486" spans="1:10" x14ac:dyDescent="0.2">
      <c r="A486" s="4" t="s">
        <v>371</v>
      </c>
      <c r="B486" s="4" t="s">
        <v>710</v>
      </c>
      <c r="C486" s="17" t="str">
        <f t="shared" si="14"/>
        <v>IL</v>
      </c>
      <c r="D486" s="12">
        <v>0</v>
      </c>
      <c r="J486" s="10">
        <f t="shared" si="15"/>
        <v>0</v>
      </c>
    </row>
    <row r="487" spans="1:10" x14ac:dyDescent="0.2">
      <c r="A487" s="4" t="s">
        <v>372</v>
      </c>
      <c r="B487" s="4" t="s">
        <v>710</v>
      </c>
      <c r="C487" s="17" t="str">
        <f t="shared" si="14"/>
        <v>IL</v>
      </c>
      <c r="D487" s="12">
        <v>0</v>
      </c>
      <c r="J487" s="10">
        <f t="shared" si="15"/>
        <v>0</v>
      </c>
    </row>
    <row r="488" spans="1:10" x14ac:dyDescent="0.2">
      <c r="A488" s="4" t="s">
        <v>373</v>
      </c>
      <c r="B488" s="4" t="s">
        <v>710</v>
      </c>
      <c r="C488" s="17" t="str">
        <f t="shared" si="14"/>
        <v>IL</v>
      </c>
      <c r="D488" s="12">
        <v>0</v>
      </c>
      <c r="J488" s="10">
        <f t="shared" si="15"/>
        <v>0</v>
      </c>
    </row>
    <row r="489" spans="1:10" x14ac:dyDescent="0.2">
      <c r="A489" s="4" t="s">
        <v>374</v>
      </c>
      <c r="B489" s="4" t="s">
        <v>710</v>
      </c>
      <c r="C489" s="17" t="str">
        <f t="shared" si="14"/>
        <v>IL</v>
      </c>
      <c r="D489" s="12">
        <v>0</v>
      </c>
      <c r="J489" s="10">
        <f t="shared" si="15"/>
        <v>0</v>
      </c>
    </row>
    <row r="490" spans="1:10" x14ac:dyDescent="0.2">
      <c r="A490" s="4" t="s">
        <v>649</v>
      </c>
      <c r="B490" s="4" t="s">
        <v>710</v>
      </c>
      <c r="C490" s="17" t="str">
        <f t="shared" si="14"/>
        <v>IL</v>
      </c>
      <c r="D490" s="12">
        <v>0</v>
      </c>
      <c r="J490" s="10">
        <f t="shared" si="15"/>
        <v>0</v>
      </c>
    </row>
    <row r="491" spans="1:10" x14ac:dyDescent="0.2">
      <c r="A491" s="4" t="s">
        <v>650</v>
      </c>
      <c r="B491" s="4" t="s">
        <v>710</v>
      </c>
      <c r="C491" s="17" t="str">
        <f t="shared" si="14"/>
        <v>IL</v>
      </c>
      <c r="D491" s="12">
        <v>0</v>
      </c>
      <c r="J491" s="10">
        <f t="shared" si="15"/>
        <v>0</v>
      </c>
    </row>
    <row r="492" spans="1:10" x14ac:dyDescent="0.2">
      <c r="A492" s="4" t="s">
        <v>375</v>
      </c>
      <c r="B492" s="4" t="s">
        <v>710</v>
      </c>
      <c r="C492" s="17" t="str">
        <f t="shared" si="14"/>
        <v>IL</v>
      </c>
      <c r="D492" s="12">
        <v>0</v>
      </c>
      <c r="J492" s="10">
        <f t="shared" si="15"/>
        <v>0</v>
      </c>
    </row>
    <row r="493" spans="1:10" x14ac:dyDescent="0.2">
      <c r="A493" s="4" t="s">
        <v>376</v>
      </c>
      <c r="B493" s="4" t="s">
        <v>710</v>
      </c>
      <c r="C493" s="17" t="str">
        <f t="shared" si="14"/>
        <v>IL</v>
      </c>
      <c r="D493" s="12">
        <v>0</v>
      </c>
      <c r="J493" s="10">
        <f t="shared" si="15"/>
        <v>0</v>
      </c>
    </row>
    <row r="494" spans="1:10" x14ac:dyDescent="0.2">
      <c r="A494" s="4" t="s">
        <v>377</v>
      </c>
      <c r="B494" s="4" t="s">
        <v>710</v>
      </c>
      <c r="C494" s="17" t="str">
        <f t="shared" si="14"/>
        <v>IL</v>
      </c>
      <c r="D494" s="12">
        <v>0</v>
      </c>
      <c r="J494" s="10">
        <f t="shared" si="15"/>
        <v>0</v>
      </c>
    </row>
    <row r="495" spans="1:10" x14ac:dyDescent="0.2">
      <c r="A495" s="4" t="s">
        <v>651</v>
      </c>
      <c r="B495" s="4" t="s">
        <v>710</v>
      </c>
      <c r="C495" s="17" t="str">
        <f t="shared" si="14"/>
        <v>IL</v>
      </c>
      <c r="D495" s="12">
        <v>0</v>
      </c>
      <c r="J495" s="10">
        <f t="shared" si="15"/>
        <v>0</v>
      </c>
    </row>
    <row r="496" spans="1:10" x14ac:dyDescent="0.2">
      <c r="A496" s="4" t="s">
        <v>652</v>
      </c>
      <c r="B496" s="4" t="s">
        <v>710</v>
      </c>
      <c r="C496" s="17" t="str">
        <f t="shared" si="14"/>
        <v>IL</v>
      </c>
      <c r="D496" s="12">
        <v>0</v>
      </c>
      <c r="J496" s="10">
        <f t="shared" si="15"/>
        <v>0</v>
      </c>
    </row>
    <row r="497" spans="1:10" x14ac:dyDescent="0.2">
      <c r="A497" s="4" t="s">
        <v>653</v>
      </c>
      <c r="B497" s="4" t="s">
        <v>710</v>
      </c>
      <c r="C497" s="17" t="str">
        <f t="shared" si="14"/>
        <v>IL</v>
      </c>
      <c r="D497" s="12">
        <v>0</v>
      </c>
      <c r="J497" s="10">
        <f t="shared" si="15"/>
        <v>0</v>
      </c>
    </row>
    <row r="498" spans="1:10" x14ac:dyDescent="0.2">
      <c r="A498" s="4" t="s">
        <v>378</v>
      </c>
      <c r="B498" s="4" t="s">
        <v>710</v>
      </c>
      <c r="C498" s="17" t="str">
        <f t="shared" si="14"/>
        <v>IL</v>
      </c>
      <c r="D498" s="12">
        <v>0</v>
      </c>
      <c r="J498" s="10">
        <f t="shared" si="15"/>
        <v>0</v>
      </c>
    </row>
    <row r="499" spans="1:10" x14ac:dyDescent="0.2">
      <c r="A499" s="4" t="s">
        <v>379</v>
      </c>
      <c r="B499" s="4" t="s">
        <v>710</v>
      </c>
      <c r="C499" s="17" t="str">
        <f t="shared" si="14"/>
        <v>IL</v>
      </c>
      <c r="D499" s="12">
        <v>0</v>
      </c>
      <c r="J499" s="10">
        <f t="shared" si="15"/>
        <v>0</v>
      </c>
    </row>
    <row r="500" spans="1:10" x14ac:dyDescent="0.2">
      <c r="A500" s="4" t="s">
        <v>654</v>
      </c>
      <c r="B500" s="4" t="s">
        <v>710</v>
      </c>
      <c r="C500" s="17" t="str">
        <f t="shared" si="14"/>
        <v>IL</v>
      </c>
      <c r="D500" s="12">
        <v>0</v>
      </c>
      <c r="J500" s="10">
        <f t="shared" si="15"/>
        <v>0</v>
      </c>
    </row>
    <row r="501" spans="1:10" x14ac:dyDescent="0.2">
      <c r="A501" s="4" t="s">
        <v>655</v>
      </c>
      <c r="B501" s="4" t="s">
        <v>710</v>
      </c>
      <c r="C501" s="17" t="str">
        <f t="shared" si="14"/>
        <v>IL</v>
      </c>
      <c r="D501" s="12">
        <v>0</v>
      </c>
      <c r="J501" s="10">
        <f t="shared" si="15"/>
        <v>0</v>
      </c>
    </row>
    <row r="502" spans="1:10" x14ac:dyDescent="0.2">
      <c r="A502" s="4" t="s">
        <v>380</v>
      </c>
      <c r="B502" s="4" t="s">
        <v>710</v>
      </c>
      <c r="C502" s="17" t="str">
        <f t="shared" si="14"/>
        <v>IL</v>
      </c>
      <c r="D502" s="12">
        <v>0</v>
      </c>
      <c r="J502" s="10">
        <f t="shared" si="15"/>
        <v>0</v>
      </c>
    </row>
    <row r="503" spans="1:10" x14ac:dyDescent="0.2">
      <c r="A503" s="4" t="s">
        <v>381</v>
      </c>
      <c r="B503" s="4" t="s">
        <v>710</v>
      </c>
      <c r="C503" s="17" t="str">
        <f t="shared" si="14"/>
        <v>IL</v>
      </c>
      <c r="D503" s="12">
        <v>0</v>
      </c>
      <c r="J503" s="10">
        <f t="shared" si="15"/>
        <v>0</v>
      </c>
    </row>
    <row r="504" spans="1:10" x14ac:dyDescent="0.2">
      <c r="A504" s="4" t="s">
        <v>382</v>
      </c>
      <c r="B504" s="4" t="s">
        <v>710</v>
      </c>
      <c r="C504" s="17" t="str">
        <f t="shared" si="14"/>
        <v>IL</v>
      </c>
      <c r="D504" s="12">
        <v>0</v>
      </c>
      <c r="J504" s="10">
        <f t="shared" si="15"/>
        <v>0</v>
      </c>
    </row>
    <row r="505" spans="1:10" x14ac:dyDescent="0.2">
      <c r="A505" s="4" t="s">
        <v>656</v>
      </c>
      <c r="B505" s="4" t="s">
        <v>710</v>
      </c>
      <c r="C505" s="17" t="str">
        <f t="shared" si="14"/>
        <v>IL</v>
      </c>
      <c r="D505" s="12">
        <v>0</v>
      </c>
      <c r="J505" s="10">
        <f t="shared" si="15"/>
        <v>0</v>
      </c>
    </row>
    <row r="506" spans="1:10" x14ac:dyDescent="0.2">
      <c r="A506" s="4" t="s">
        <v>657</v>
      </c>
      <c r="B506" s="4" t="s">
        <v>710</v>
      </c>
      <c r="C506" s="17" t="str">
        <f t="shared" si="14"/>
        <v>IL</v>
      </c>
      <c r="D506" s="12">
        <v>0</v>
      </c>
      <c r="J506" s="10">
        <f t="shared" si="15"/>
        <v>0</v>
      </c>
    </row>
    <row r="507" spans="1:10" x14ac:dyDescent="0.2">
      <c r="A507" s="4" t="s">
        <v>658</v>
      </c>
      <c r="B507" s="4" t="s">
        <v>710</v>
      </c>
      <c r="C507" s="17" t="str">
        <f t="shared" si="14"/>
        <v>IL</v>
      </c>
      <c r="D507" s="12">
        <v>0</v>
      </c>
      <c r="J507" s="10">
        <f t="shared" si="15"/>
        <v>0</v>
      </c>
    </row>
    <row r="508" spans="1:10" x14ac:dyDescent="0.2">
      <c r="A508" s="4" t="s">
        <v>659</v>
      </c>
      <c r="B508" s="4" t="s">
        <v>710</v>
      </c>
      <c r="C508" s="17" t="str">
        <f t="shared" si="14"/>
        <v>IL</v>
      </c>
      <c r="D508" s="12">
        <v>0</v>
      </c>
      <c r="J508" s="10">
        <f t="shared" si="15"/>
        <v>0</v>
      </c>
    </row>
    <row r="509" spans="1:10" x14ac:dyDescent="0.2">
      <c r="A509" s="4" t="s">
        <v>660</v>
      </c>
      <c r="B509" s="4" t="s">
        <v>710</v>
      </c>
      <c r="C509" s="17" t="str">
        <f t="shared" si="14"/>
        <v>IL</v>
      </c>
      <c r="D509" s="12">
        <v>0</v>
      </c>
      <c r="J509" s="10">
        <f t="shared" si="15"/>
        <v>0</v>
      </c>
    </row>
    <row r="510" spans="1:10" x14ac:dyDescent="0.2">
      <c r="A510" s="4" t="s">
        <v>661</v>
      </c>
      <c r="B510" s="4" t="s">
        <v>710</v>
      </c>
      <c r="C510" s="17" t="str">
        <f t="shared" si="14"/>
        <v>IL</v>
      </c>
      <c r="D510" s="12">
        <v>0</v>
      </c>
      <c r="J510" s="10">
        <f t="shared" si="15"/>
        <v>0</v>
      </c>
    </row>
    <row r="511" spans="1:10" x14ac:dyDescent="0.2">
      <c r="A511" s="4" t="s">
        <v>662</v>
      </c>
      <c r="B511" s="4" t="s">
        <v>710</v>
      </c>
      <c r="C511" s="17" t="str">
        <f t="shared" si="14"/>
        <v>IL</v>
      </c>
      <c r="D511" s="12">
        <v>0</v>
      </c>
      <c r="J511" s="10">
        <f t="shared" si="15"/>
        <v>0</v>
      </c>
    </row>
    <row r="512" spans="1:10" x14ac:dyDescent="0.2">
      <c r="A512" s="4" t="s">
        <v>663</v>
      </c>
      <c r="B512" s="4" t="s">
        <v>710</v>
      </c>
      <c r="C512" s="17" t="str">
        <f t="shared" si="14"/>
        <v>IL</v>
      </c>
      <c r="D512" s="12">
        <v>0</v>
      </c>
      <c r="J512" s="10">
        <f t="shared" si="15"/>
        <v>0</v>
      </c>
    </row>
    <row r="513" spans="1:10" x14ac:dyDescent="0.2">
      <c r="A513" s="4" t="s">
        <v>664</v>
      </c>
      <c r="B513" s="4" t="s">
        <v>710</v>
      </c>
      <c r="C513" s="17" t="str">
        <f t="shared" si="14"/>
        <v>IL</v>
      </c>
      <c r="D513" s="12">
        <v>0</v>
      </c>
      <c r="J513" s="10">
        <f t="shared" si="15"/>
        <v>0</v>
      </c>
    </row>
    <row r="514" spans="1:10" x14ac:dyDescent="0.2">
      <c r="A514" s="4" t="s">
        <v>665</v>
      </c>
      <c r="B514" s="4" t="s">
        <v>710</v>
      </c>
      <c r="C514" s="17" t="str">
        <f t="shared" ref="C514:C577" si="16">VLOOKUP(B514, quota_order_numbers2, 6, FALSE)</f>
        <v>IL</v>
      </c>
      <c r="D514" s="12">
        <v>0</v>
      </c>
      <c r="J514" s="10">
        <f t="shared" ref="J514:J577" si="17">VLOOKUP(B514, quota_order_numbers2, 2, FALSE)</f>
        <v>0</v>
      </c>
    </row>
    <row r="515" spans="1:10" x14ac:dyDescent="0.2">
      <c r="A515" s="4" t="s">
        <v>666</v>
      </c>
      <c r="B515" s="4" t="s">
        <v>710</v>
      </c>
      <c r="C515" s="17" t="str">
        <f t="shared" si="16"/>
        <v>IL</v>
      </c>
      <c r="D515" s="12">
        <v>0</v>
      </c>
      <c r="J515" s="10">
        <f t="shared" si="17"/>
        <v>0</v>
      </c>
    </row>
    <row r="516" spans="1:10" x14ac:dyDescent="0.2">
      <c r="A516" s="4" t="s">
        <v>667</v>
      </c>
      <c r="B516" s="4" t="s">
        <v>710</v>
      </c>
      <c r="C516" s="17" t="str">
        <f t="shared" si="16"/>
        <v>IL</v>
      </c>
      <c r="D516" s="12">
        <v>0</v>
      </c>
      <c r="J516" s="10">
        <f t="shared" si="17"/>
        <v>0</v>
      </c>
    </row>
    <row r="517" spans="1:10" x14ac:dyDescent="0.2">
      <c r="A517" s="4" t="s">
        <v>383</v>
      </c>
      <c r="B517" s="4" t="s">
        <v>710</v>
      </c>
      <c r="C517" s="17" t="str">
        <f t="shared" si="16"/>
        <v>IL</v>
      </c>
      <c r="D517" s="12">
        <v>0</v>
      </c>
      <c r="J517" s="10">
        <f t="shared" si="17"/>
        <v>0</v>
      </c>
    </row>
    <row r="518" spans="1:10" x14ac:dyDescent="0.2">
      <c r="A518" s="4" t="s">
        <v>668</v>
      </c>
      <c r="B518" s="4" t="s">
        <v>710</v>
      </c>
      <c r="C518" s="17" t="str">
        <f t="shared" si="16"/>
        <v>IL</v>
      </c>
      <c r="D518" s="12">
        <v>0</v>
      </c>
      <c r="J518" s="10">
        <f t="shared" si="17"/>
        <v>0</v>
      </c>
    </row>
    <row r="519" spans="1:10" x14ac:dyDescent="0.2">
      <c r="A519" s="4" t="s">
        <v>669</v>
      </c>
      <c r="B519" s="4" t="s">
        <v>710</v>
      </c>
      <c r="C519" s="17" t="str">
        <f t="shared" si="16"/>
        <v>IL</v>
      </c>
      <c r="D519" s="12">
        <v>0</v>
      </c>
      <c r="J519" s="10">
        <f t="shared" si="17"/>
        <v>0</v>
      </c>
    </row>
    <row r="520" spans="1:10" x14ac:dyDescent="0.2">
      <c r="A520" s="4" t="s">
        <v>670</v>
      </c>
      <c r="B520" s="4" t="s">
        <v>710</v>
      </c>
      <c r="C520" s="17" t="str">
        <f t="shared" si="16"/>
        <v>IL</v>
      </c>
      <c r="D520" s="12">
        <v>0</v>
      </c>
      <c r="J520" s="10">
        <f t="shared" si="17"/>
        <v>0</v>
      </c>
    </row>
    <row r="521" spans="1:10" x14ac:dyDescent="0.2">
      <c r="A521" s="4" t="s">
        <v>671</v>
      </c>
      <c r="B521" s="4" t="s">
        <v>710</v>
      </c>
      <c r="C521" s="17" t="str">
        <f t="shared" si="16"/>
        <v>IL</v>
      </c>
      <c r="D521" s="12">
        <v>0</v>
      </c>
      <c r="J521" s="10">
        <f t="shared" si="17"/>
        <v>0</v>
      </c>
    </row>
    <row r="522" spans="1:10" x14ac:dyDescent="0.2">
      <c r="A522" s="4" t="s">
        <v>672</v>
      </c>
      <c r="B522" s="4" t="s">
        <v>710</v>
      </c>
      <c r="C522" s="17" t="str">
        <f t="shared" si="16"/>
        <v>IL</v>
      </c>
      <c r="D522" s="12">
        <v>0</v>
      </c>
      <c r="J522" s="10">
        <f t="shared" si="17"/>
        <v>0</v>
      </c>
    </row>
    <row r="523" spans="1:10" x14ac:dyDescent="0.2">
      <c r="A523" s="4" t="s">
        <v>673</v>
      </c>
      <c r="B523" s="4" t="s">
        <v>710</v>
      </c>
      <c r="C523" s="17" t="str">
        <f t="shared" si="16"/>
        <v>IL</v>
      </c>
      <c r="D523" s="12">
        <v>0</v>
      </c>
      <c r="J523" s="10">
        <f t="shared" si="17"/>
        <v>0</v>
      </c>
    </row>
    <row r="524" spans="1:10" x14ac:dyDescent="0.2">
      <c r="A524" s="4" t="s">
        <v>674</v>
      </c>
      <c r="B524" s="4" t="s">
        <v>710</v>
      </c>
      <c r="C524" s="17" t="str">
        <f t="shared" si="16"/>
        <v>IL</v>
      </c>
      <c r="D524" s="12">
        <v>0</v>
      </c>
      <c r="J524" s="10">
        <f t="shared" si="17"/>
        <v>0</v>
      </c>
    </row>
    <row r="525" spans="1:10" x14ac:dyDescent="0.2">
      <c r="A525" s="4" t="s">
        <v>675</v>
      </c>
      <c r="B525" s="4" t="s">
        <v>710</v>
      </c>
      <c r="C525" s="17" t="str">
        <f t="shared" si="16"/>
        <v>IL</v>
      </c>
      <c r="D525" s="12">
        <v>0</v>
      </c>
      <c r="J525" s="10">
        <f t="shared" si="17"/>
        <v>0</v>
      </c>
    </row>
    <row r="526" spans="1:10" x14ac:dyDescent="0.2">
      <c r="A526" s="4" t="s">
        <v>676</v>
      </c>
      <c r="B526" s="4" t="s">
        <v>710</v>
      </c>
      <c r="C526" s="17" t="str">
        <f t="shared" si="16"/>
        <v>IL</v>
      </c>
      <c r="D526" s="12">
        <v>0</v>
      </c>
      <c r="J526" s="10">
        <f t="shared" si="17"/>
        <v>0</v>
      </c>
    </row>
    <row r="527" spans="1:10" x14ac:dyDescent="0.2">
      <c r="A527" s="4" t="s">
        <v>384</v>
      </c>
      <c r="B527" s="4" t="s">
        <v>710</v>
      </c>
      <c r="C527" s="17" t="str">
        <f t="shared" si="16"/>
        <v>IL</v>
      </c>
      <c r="D527" s="12">
        <v>0</v>
      </c>
      <c r="J527" s="10">
        <f t="shared" si="17"/>
        <v>0</v>
      </c>
    </row>
    <row r="528" spans="1:10" x14ac:dyDescent="0.2">
      <c r="A528" s="4" t="s">
        <v>677</v>
      </c>
      <c r="B528" s="4" t="s">
        <v>710</v>
      </c>
      <c r="C528" s="17" t="str">
        <f t="shared" si="16"/>
        <v>IL</v>
      </c>
      <c r="D528" s="12">
        <v>0</v>
      </c>
      <c r="J528" s="10">
        <f t="shared" si="17"/>
        <v>0</v>
      </c>
    </row>
    <row r="529" spans="1:10" x14ac:dyDescent="0.2">
      <c r="A529" s="4" t="s">
        <v>678</v>
      </c>
      <c r="B529" s="4" t="s">
        <v>710</v>
      </c>
      <c r="C529" s="17" t="str">
        <f t="shared" si="16"/>
        <v>IL</v>
      </c>
      <c r="D529" s="12">
        <v>0</v>
      </c>
      <c r="J529" s="10">
        <f t="shared" si="17"/>
        <v>0</v>
      </c>
    </row>
    <row r="530" spans="1:10" x14ac:dyDescent="0.2">
      <c r="A530" s="4" t="s">
        <v>679</v>
      </c>
      <c r="B530" s="4" t="s">
        <v>710</v>
      </c>
      <c r="C530" s="17" t="str">
        <f t="shared" si="16"/>
        <v>IL</v>
      </c>
      <c r="D530" s="12">
        <v>0</v>
      </c>
      <c r="J530" s="10">
        <f t="shared" si="17"/>
        <v>0</v>
      </c>
    </row>
    <row r="531" spans="1:10" x14ac:dyDescent="0.2">
      <c r="A531" s="4" t="s">
        <v>680</v>
      </c>
      <c r="B531" s="4" t="s">
        <v>710</v>
      </c>
      <c r="C531" s="17" t="str">
        <f t="shared" si="16"/>
        <v>IL</v>
      </c>
      <c r="D531" s="12">
        <v>0</v>
      </c>
      <c r="J531" s="10">
        <f t="shared" si="17"/>
        <v>0</v>
      </c>
    </row>
    <row r="532" spans="1:10" x14ac:dyDescent="0.2">
      <c r="A532" s="4" t="s">
        <v>359</v>
      </c>
      <c r="B532" s="4" t="s">
        <v>711</v>
      </c>
      <c r="C532" s="17" t="str">
        <f t="shared" si="16"/>
        <v>IL</v>
      </c>
      <c r="D532" s="12">
        <v>0</v>
      </c>
      <c r="J532" s="10">
        <f t="shared" si="17"/>
        <v>0</v>
      </c>
    </row>
    <row r="533" spans="1:10" x14ac:dyDescent="0.2">
      <c r="A533" s="4" t="s">
        <v>361</v>
      </c>
      <c r="B533" s="4" t="s">
        <v>711</v>
      </c>
      <c r="C533" s="17" t="str">
        <f t="shared" si="16"/>
        <v>IL</v>
      </c>
      <c r="D533" s="12">
        <v>0</v>
      </c>
      <c r="J533" s="10">
        <f t="shared" si="17"/>
        <v>0</v>
      </c>
    </row>
    <row r="534" spans="1:10" x14ac:dyDescent="0.2">
      <c r="A534" s="4" t="s">
        <v>362</v>
      </c>
      <c r="B534" s="4" t="s">
        <v>711</v>
      </c>
      <c r="C534" s="17" t="str">
        <f t="shared" si="16"/>
        <v>IL</v>
      </c>
      <c r="D534" s="12">
        <v>0</v>
      </c>
      <c r="J534" s="10">
        <f t="shared" si="17"/>
        <v>0</v>
      </c>
    </row>
    <row r="535" spans="1:10" x14ac:dyDescent="0.2">
      <c r="A535" s="4" t="s">
        <v>363</v>
      </c>
      <c r="B535" s="4" t="s">
        <v>711</v>
      </c>
      <c r="C535" s="17" t="str">
        <f t="shared" si="16"/>
        <v>IL</v>
      </c>
      <c r="D535" s="12">
        <v>0</v>
      </c>
      <c r="J535" s="10">
        <f t="shared" si="17"/>
        <v>0</v>
      </c>
    </row>
    <row r="536" spans="1:10" x14ac:dyDescent="0.2">
      <c r="A536" s="4" t="s">
        <v>364</v>
      </c>
      <c r="B536" s="4" t="s">
        <v>711</v>
      </c>
      <c r="C536" s="17" t="str">
        <f t="shared" si="16"/>
        <v>IL</v>
      </c>
      <c r="D536" s="12">
        <v>0</v>
      </c>
      <c r="J536" s="10">
        <f t="shared" si="17"/>
        <v>0</v>
      </c>
    </row>
    <row r="537" spans="1:10" x14ac:dyDescent="0.2">
      <c r="A537" s="4" t="s">
        <v>365</v>
      </c>
      <c r="B537" s="4" t="s">
        <v>711</v>
      </c>
      <c r="C537" s="17" t="str">
        <f t="shared" si="16"/>
        <v>IL</v>
      </c>
      <c r="D537" s="12">
        <v>0</v>
      </c>
      <c r="J537" s="10">
        <f t="shared" si="17"/>
        <v>0</v>
      </c>
    </row>
    <row r="538" spans="1:10" x14ac:dyDescent="0.2">
      <c r="A538" s="4" t="s">
        <v>445</v>
      </c>
      <c r="B538" s="4" t="s">
        <v>715</v>
      </c>
      <c r="C538" s="17" t="str">
        <f t="shared" si="16"/>
        <v>1034</v>
      </c>
      <c r="D538" s="12">
        <v>0</v>
      </c>
      <c r="J538" s="10">
        <f t="shared" si="17"/>
        <v>0</v>
      </c>
    </row>
    <row r="539" spans="1:10" x14ac:dyDescent="0.2">
      <c r="A539" s="4" t="s">
        <v>446</v>
      </c>
      <c r="B539" s="4" t="s">
        <v>715</v>
      </c>
      <c r="C539" s="17" t="str">
        <f t="shared" si="16"/>
        <v>1034</v>
      </c>
      <c r="D539" s="12">
        <v>0</v>
      </c>
      <c r="J539" s="10">
        <f t="shared" si="17"/>
        <v>0</v>
      </c>
    </row>
    <row r="540" spans="1:10" x14ac:dyDescent="0.2">
      <c r="A540" s="4" t="s">
        <v>447</v>
      </c>
      <c r="B540" s="4" t="s">
        <v>715</v>
      </c>
      <c r="C540" s="17" t="str">
        <f t="shared" si="16"/>
        <v>1034</v>
      </c>
      <c r="D540" s="12">
        <v>0</v>
      </c>
      <c r="J540" s="10">
        <f t="shared" si="17"/>
        <v>0</v>
      </c>
    </row>
    <row r="541" spans="1:10" x14ac:dyDescent="0.2">
      <c r="A541" s="4" t="s">
        <v>448</v>
      </c>
      <c r="B541" s="4" t="s">
        <v>715</v>
      </c>
      <c r="C541" s="17" t="str">
        <f t="shared" si="16"/>
        <v>1034</v>
      </c>
      <c r="D541" s="12">
        <v>0</v>
      </c>
      <c r="J541" s="10">
        <f t="shared" si="17"/>
        <v>0</v>
      </c>
    </row>
    <row r="542" spans="1:10" x14ac:dyDescent="0.2">
      <c r="A542" s="4" t="s">
        <v>449</v>
      </c>
      <c r="B542" s="4" t="s">
        <v>715</v>
      </c>
      <c r="C542" s="17" t="str">
        <f t="shared" si="16"/>
        <v>1034</v>
      </c>
      <c r="D542" s="12">
        <v>0</v>
      </c>
      <c r="J542" s="10">
        <f t="shared" si="17"/>
        <v>0</v>
      </c>
    </row>
    <row r="543" spans="1:10" x14ac:dyDescent="0.2">
      <c r="A543" s="4" t="s">
        <v>450</v>
      </c>
      <c r="B543" s="4" t="s">
        <v>715</v>
      </c>
      <c r="C543" s="17" t="str">
        <f t="shared" si="16"/>
        <v>1034</v>
      </c>
      <c r="D543" s="12">
        <v>0</v>
      </c>
      <c r="J543" s="10">
        <f t="shared" si="17"/>
        <v>0</v>
      </c>
    </row>
    <row r="544" spans="1:10" x14ac:dyDescent="0.2">
      <c r="A544" s="4" t="s">
        <v>719</v>
      </c>
      <c r="B544" s="4" t="s">
        <v>715</v>
      </c>
      <c r="C544" s="17" t="str">
        <f t="shared" si="16"/>
        <v>1034</v>
      </c>
      <c r="D544" s="12">
        <v>0</v>
      </c>
      <c r="J544" s="10">
        <f t="shared" si="17"/>
        <v>0</v>
      </c>
    </row>
    <row r="545" spans="1:10" x14ac:dyDescent="0.2">
      <c r="A545" s="4" t="s">
        <v>720</v>
      </c>
      <c r="B545" s="4" t="s">
        <v>715</v>
      </c>
      <c r="C545" s="17" t="str">
        <f t="shared" si="16"/>
        <v>1034</v>
      </c>
      <c r="D545" s="12">
        <v>0</v>
      </c>
      <c r="J545" s="10">
        <f t="shared" si="17"/>
        <v>0</v>
      </c>
    </row>
    <row r="546" spans="1:10" x14ac:dyDescent="0.2">
      <c r="A546" s="4" t="s">
        <v>721</v>
      </c>
      <c r="B546" s="4" t="s">
        <v>715</v>
      </c>
      <c r="C546" s="17" t="str">
        <f t="shared" si="16"/>
        <v>1034</v>
      </c>
      <c r="D546" s="12">
        <v>0</v>
      </c>
      <c r="J546" s="10">
        <f t="shared" si="17"/>
        <v>0</v>
      </c>
    </row>
    <row r="547" spans="1:10" x14ac:dyDescent="0.2">
      <c r="A547" s="4" t="s">
        <v>722</v>
      </c>
      <c r="B547" s="4" t="s">
        <v>715</v>
      </c>
      <c r="C547" s="17" t="str">
        <f t="shared" si="16"/>
        <v>1034</v>
      </c>
      <c r="D547" s="12">
        <v>0</v>
      </c>
      <c r="J547" s="10">
        <f t="shared" si="17"/>
        <v>0</v>
      </c>
    </row>
    <row r="548" spans="1:10" x14ac:dyDescent="0.2">
      <c r="A548" s="4" t="s">
        <v>723</v>
      </c>
      <c r="B548" s="4" t="s">
        <v>715</v>
      </c>
      <c r="C548" s="17" t="str">
        <f t="shared" si="16"/>
        <v>1034</v>
      </c>
      <c r="D548" s="12">
        <v>0</v>
      </c>
      <c r="J548" s="10">
        <f t="shared" si="17"/>
        <v>0</v>
      </c>
    </row>
    <row r="549" spans="1:10" x14ac:dyDescent="0.2">
      <c r="A549" s="4" t="s">
        <v>724</v>
      </c>
      <c r="B549" s="4" t="s">
        <v>716</v>
      </c>
      <c r="C549" s="17" t="str">
        <f t="shared" si="16"/>
        <v>1034</v>
      </c>
      <c r="D549" s="12">
        <v>0</v>
      </c>
      <c r="J549" s="10">
        <f t="shared" si="17"/>
        <v>0</v>
      </c>
    </row>
    <row r="550" spans="1:10" x14ac:dyDescent="0.2">
      <c r="A550" s="4" t="s">
        <v>725</v>
      </c>
      <c r="B550" s="4" t="s">
        <v>716</v>
      </c>
      <c r="C550" s="17" t="str">
        <f t="shared" si="16"/>
        <v>1034</v>
      </c>
      <c r="D550" s="12">
        <v>0</v>
      </c>
      <c r="J550" s="10">
        <f t="shared" si="17"/>
        <v>0</v>
      </c>
    </row>
    <row r="551" spans="1:10" x14ac:dyDescent="0.2">
      <c r="A551" s="4" t="s">
        <v>726</v>
      </c>
      <c r="B551" s="4" t="s">
        <v>716</v>
      </c>
      <c r="C551" s="17" t="str">
        <f t="shared" si="16"/>
        <v>1034</v>
      </c>
      <c r="D551" s="12">
        <v>0</v>
      </c>
      <c r="J551" s="10">
        <f t="shared" si="17"/>
        <v>0</v>
      </c>
    </row>
    <row r="552" spans="1:10" x14ac:dyDescent="0.2">
      <c r="A552" s="4" t="s">
        <v>754</v>
      </c>
      <c r="B552" s="4" t="s">
        <v>727</v>
      </c>
      <c r="C552" s="17" t="str">
        <f t="shared" si="16"/>
        <v>NO</v>
      </c>
      <c r="D552" s="12">
        <v>0</v>
      </c>
      <c r="J552" s="10">
        <f t="shared" si="17"/>
        <v>0</v>
      </c>
    </row>
    <row r="553" spans="1:10" x14ac:dyDescent="0.2">
      <c r="A553" s="4" t="s">
        <v>755</v>
      </c>
      <c r="B553" s="4" t="s">
        <v>727</v>
      </c>
      <c r="C553" s="17" t="str">
        <f t="shared" si="16"/>
        <v>NO</v>
      </c>
      <c r="D553" s="12">
        <v>0</v>
      </c>
      <c r="J553" s="10">
        <f t="shared" si="17"/>
        <v>0</v>
      </c>
    </row>
    <row r="554" spans="1:10" x14ac:dyDescent="0.2">
      <c r="A554" s="4" t="s">
        <v>756</v>
      </c>
      <c r="B554" s="4" t="s">
        <v>727</v>
      </c>
      <c r="C554" s="17" t="str">
        <f t="shared" si="16"/>
        <v>NO</v>
      </c>
      <c r="D554" s="12">
        <v>0</v>
      </c>
      <c r="J554" s="10">
        <f t="shared" si="17"/>
        <v>0</v>
      </c>
    </row>
    <row r="555" spans="1:10" x14ac:dyDescent="0.2">
      <c r="A555" s="4" t="s">
        <v>757</v>
      </c>
      <c r="B555" s="4" t="s">
        <v>728</v>
      </c>
      <c r="C555" s="17" t="str">
        <f t="shared" si="16"/>
        <v>NO</v>
      </c>
      <c r="D555" s="12">
        <v>0</v>
      </c>
      <c r="J555" s="10">
        <f t="shared" si="17"/>
        <v>0</v>
      </c>
    </row>
    <row r="556" spans="1:10" x14ac:dyDescent="0.2">
      <c r="A556" s="4" t="s">
        <v>758</v>
      </c>
      <c r="B556" s="4" t="s">
        <v>728</v>
      </c>
      <c r="C556" s="17" t="str">
        <f t="shared" si="16"/>
        <v>NO</v>
      </c>
      <c r="D556" s="12">
        <v>0</v>
      </c>
      <c r="J556" s="10">
        <f t="shared" si="17"/>
        <v>0</v>
      </c>
    </row>
    <row r="557" spans="1:10" x14ac:dyDescent="0.2">
      <c r="A557" s="4" t="s">
        <v>759</v>
      </c>
      <c r="B557" s="4" t="s">
        <v>728</v>
      </c>
      <c r="C557" s="17" t="str">
        <f t="shared" si="16"/>
        <v>NO</v>
      </c>
      <c r="D557" s="12">
        <v>0</v>
      </c>
      <c r="J557" s="10">
        <f t="shared" si="17"/>
        <v>0</v>
      </c>
    </row>
    <row r="558" spans="1:10" x14ac:dyDescent="0.2">
      <c r="A558" s="4" t="s">
        <v>760</v>
      </c>
      <c r="B558" s="4" t="s">
        <v>728</v>
      </c>
      <c r="C558" s="17" t="str">
        <f t="shared" si="16"/>
        <v>NO</v>
      </c>
      <c r="D558" s="12">
        <v>0</v>
      </c>
      <c r="J558" s="10">
        <f t="shared" si="17"/>
        <v>0</v>
      </c>
    </row>
    <row r="559" spans="1:10" x14ac:dyDescent="0.2">
      <c r="A559" s="4" t="s">
        <v>761</v>
      </c>
      <c r="B559" s="4" t="s">
        <v>728</v>
      </c>
      <c r="C559" s="17" t="str">
        <f t="shared" si="16"/>
        <v>NO</v>
      </c>
      <c r="D559" s="12">
        <v>0</v>
      </c>
      <c r="J559" s="10">
        <f t="shared" si="17"/>
        <v>0</v>
      </c>
    </row>
    <row r="560" spans="1:10" x14ac:dyDescent="0.2">
      <c r="A560" s="4" t="s">
        <v>762</v>
      </c>
      <c r="B560" s="4" t="s">
        <v>728</v>
      </c>
      <c r="C560" s="17" t="str">
        <f t="shared" si="16"/>
        <v>NO</v>
      </c>
      <c r="D560" s="12">
        <v>0</v>
      </c>
      <c r="J560" s="10">
        <f t="shared" si="17"/>
        <v>0</v>
      </c>
    </row>
    <row r="561" spans="1:10" x14ac:dyDescent="0.2">
      <c r="A561" s="4" t="s">
        <v>763</v>
      </c>
      <c r="B561" s="4" t="s">
        <v>728</v>
      </c>
      <c r="C561" s="17" t="str">
        <f t="shared" si="16"/>
        <v>NO</v>
      </c>
      <c r="D561" s="12">
        <v>0</v>
      </c>
      <c r="J561" s="10">
        <f t="shared" si="17"/>
        <v>0</v>
      </c>
    </row>
    <row r="562" spans="1:10" x14ac:dyDescent="0.2">
      <c r="A562" s="4" t="s">
        <v>764</v>
      </c>
      <c r="B562" s="4" t="s">
        <v>728</v>
      </c>
      <c r="C562" s="17" t="str">
        <f t="shared" si="16"/>
        <v>NO</v>
      </c>
      <c r="D562" s="12">
        <v>0</v>
      </c>
      <c r="J562" s="10">
        <f t="shared" si="17"/>
        <v>0</v>
      </c>
    </row>
    <row r="563" spans="1:10" x14ac:dyDescent="0.2">
      <c r="A563" s="4" t="s">
        <v>765</v>
      </c>
      <c r="B563" s="4" t="s">
        <v>729</v>
      </c>
      <c r="C563" s="17" t="str">
        <f t="shared" si="16"/>
        <v>NO</v>
      </c>
      <c r="D563" s="12">
        <v>0</v>
      </c>
      <c r="J563" s="10">
        <f t="shared" si="17"/>
        <v>0</v>
      </c>
    </row>
    <row r="564" spans="1:10" x14ac:dyDescent="0.2">
      <c r="A564" s="4" t="s">
        <v>766</v>
      </c>
      <c r="B564" s="4" t="s">
        <v>729</v>
      </c>
      <c r="C564" s="17" t="str">
        <f t="shared" si="16"/>
        <v>NO</v>
      </c>
      <c r="D564" s="12">
        <v>0</v>
      </c>
      <c r="J564" s="10">
        <f t="shared" si="17"/>
        <v>0</v>
      </c>
    </row>
    <row r="565" spans="1:10" x14ac:dyDescent="0.2">
      <c r="A565" s="4" t="s">
        <v>767</v>
      </c>
      <c r="B565" s="4" t="s">
        <v>730</v>
      </c>
      <c r="C565" s="17" t="str">
        <f t="shared" si="16"/>
        <v>NO</v>
      </c>
      <c r="D565" s="12">
        <v>0</v>
      </c>
      <c r="J565" s="10">
        <f t="shared" si="17"/>
        <v>0</v>
      </c>
    </row>
    <row r="566" spans="1:10" x14ac:dyDescent="0.2">
      <c r="A566" s="4" t="s">
        <v>768</v>
      </c>
      <c r="B566" s="4" t="s">
        <v>730</v>
      </c>
      <c r="C566" s="17" t="str">
        <f t="shared" si="16"/>
        <v>NO</v>
      </c>
      <c r="D566" s="12">
        <v>0</v>
      </c>
      <c r="J566" s="10">
        <f t="shared" si="17"/>
        <v>0</v>
      </c>
    </row>
    <row r="567" spans="1:10" x14ac:dyDescent="0.2">
      <c r="A567" s="4" t="s">
        <v>769</v>
      </c>
      <c r="B567" s="4" t="s">
        <v>731</v>
      </c>
      <c r="C567" s="17" t="str">
        <f t="shared" si="16"/>
        <v>NO</v>
      </c>
      <c r="D567" s="12">
        <v>0</v>
      </c>
      <c r="J567" s="10">
        <f t="shared" si="17"/>
        <v>0</v>
      </c>
    </row>
    <row r="568" spans="1:10" x14ac:dyDescent="0.2">
      <c r="A568" s="4" t="s">
        <v>770</v>
      </c>
      <c r="B568" s="4" t="s">
        <v>731</v>
      </c>
      <c r="C568" s="17" t="str">
        <f t="shared" si="16"/>
        <v>NO</v>
      </c>
      <c r="D568" s="12">
        <v>0</v>
      </c>
      <c r="J568" s="10">
        <f t="shared" si="17"/>
        <v>0</v>
      </c>
    </row>
    <row r="569" spans="1:10" x14ac:dyDescent="0.2">
      <c r="A569" s="4" t="s">
        <v>771</v>
      </c>
      <c r="B569" s="4" t="s">
        <v>731</v>
      </c>
      <c r="C569" s="17" t="str">
        <f t="shared" si="16"/>
        <v>NO</v>
      </c>
      <c r="D569" s="12">
        <v>0</v>
      </c>
      <c r="J569" s="10">
        <f t="shared" si="17"/>
        <v>0</v>
      </c>
    </row>
    <row r="570" spans="1:10" x14ac:dyDescent="0.2">
      <c r="A570" s="4" t="s">
        <v>772</v>
      </c>
      <c r="B570" s="4" t="s">
        <v>731</v>
      </c>
      <c r="C570" s="17" t="str">
        <f t="shared" si="16"/>
        <v>NO</v>
      </c>
      <c r="D570" s="12">
        <v>0</v>
      </c>
      <c r="J570" s="10">
        <f t="shared" si="17"/>
        <v>0</v>
      </c>
    </row>
    <row r="571" spans="1:10" x14ac:dyDescent="0.2">
      <c r="A571" s="4" t="s">
        <v>773</v>
      </c>
      <c r="B571" s="4" t="s">
        <v>731</v>
      </c>
      <c r="C571" s="17" t="str">
        <f t="shared" si="16"/>
        <v>NO</v>
      </c>
      <c r="D571" s="12">
        <v>0</v>
      </c>
      <c r="J571" s="10">
        <f t="shared" si="17"/>
        <v>0</v>
      </c>
    </row>
    <row r="572" spans="1:10" x14ac:dyDescent="0.2">
      <c r="A572" s="4" t="s">
        <v>774</v>
      </c>
      <c r="B572" s="4" t="s">
        <v>731</v>
      </c>
      <c r="C572" s="17" t="str">
        <f t="shared" si="16"/>
        <v>NO</v>
      </c>
      <c r="D572" s="12">
        <v>0</v>
      </c>
      <c r="J572" s="10">
        <f t="shared" si="17"/>
        <v>0</v>
      </c>
    </row>
    <row r="573" spans="1:10" x14ac:dyDescent="0.2">
      <c r="A573" s="4" t="s">
        <v>775</v>
      </c>
      <c r="B573" s="4" t="s">
        <v>731</v>
      </c>
      <c r="C573" s="17" t="str">
        <f t="shared" si="16"/>
        <v>NO</v>
      </c>
      <c r="D573" s="12">
        <v>0</v>
      </c>
      <c r="J573" s="10">
        <f t="shared" si="17"/>
        <v>0</v>
      </c>
    </row>
    <row r="574" spans="1:10" x14ac:dyDescent="0.2">
      <c r="A574" s="4" t="s">
        <v>776</v>
      </c>
      <c r="B574" s="4" t="s">
        <v>731</v>
      </c>
      <c r="C574" s="17" t="str">
        <f t="shared" si="16"/>
        <v>NO</v>
      </c>
      <c r="D574" s="12">
        <v>0</v>
      </c>
      <c r="J574" s="10">
        <f t="shared" si="17"/>
        <v>0</v>
      </c>
    </row>
    <row r="575" spans="1:10" x14ac:dyDescent="0.2">
      <c r="A575" s="4" t="s">
        <v>777</v>
      </c>
      <c r="B575" s="4" t="s">
        <v>731</v>
      </c>
      <c r="C575" s="17" t="str">
        <f t="shared" si="16"/>
        <v>NO</v>
      </c>
      <c r="D575" s="12">
        <v>0</v>
      </c>
      <c r="J575" s="10">
        <f t="shared" si="17"/>
        <v>0</v>
      </c>
    </row>
    <row r="576" spans="1:10" x14ac:dyDescent="0.2">
      <c r="A576" s="4" t="s">
        <v>778</v>
      </c>
      <c r="B576" s="4" t="s">
        <v>732</v>
      </c>
      <c r="C576" s="17" t="str">
        <f t="shared" si="16"/>
        <v>NO</v>
      </c>
      <c r="D576" s="12">
        <v>0</v>
      </c>
      <c r="J576" s="10">
        <f t="shared" si="17"/>
        <v>0</v>
      </c>
    </row>
    <row r="577" spans="1:10" x14ac:dyDescent="0.2">
      <c r="A577" s="4" t="s">
        <v>779</v>
      </c>
      <c r="B577" s="4" t="s">
        <v>732</v>
      </c>
      <c r="C577" s="17" t="str">
        <f t="shared" si="16"/>
        <v>NO</v>
      </c>
      <c r="D577" s="12">
        <v>0</v>
      </c>
      <c r="J577" s="10">
        <f t="shared" si="17"/>
        <v>0</v>
      </c>
    </row>
    <row r="578" spans="1:10" x14ac:dyDescent="0.2">
      <c r="A578" s="4" t="s">
        <v>780</v>
      </c>
      <c r="B578" s="4" t="s">
        <v>732</v>
      </c>
      <c r="C578" s="17" t="str">
        <f t="shared" ref="C578:C641" si="18">VLOOKUP(B578, quota_order_numbers2, 6, FALSE)</f>
        <v>NO</v>
      </c>
      <c r="D578" s="12">
        <v>0</v>
      </c>
      <c r="J578" s="10">
        <f t="shared" ref="J578:J641" si="19">VLOOKUP(B578, quota_order_numbers2, 2, FALSE)</f>
        <v>0</v>
      </c>
    </row>
    <row r="579" spans="1:10" x14ac:dyDescent="0.2">
      <c r="A579" s="4" t="s">
        <v>781</v>
      </c>
      <c r="B579" s="4" t="s">
        <v>732</v>
      </c>
      <c r="C579" s="17" t="str">
        <f t="shared" si="18"/>
        <v>NO</v>
      </c>
      <c r="D579" s="12">
        <v>0</v>
      </c>
      <c r="J579" s="10">
        <f t="shared" si="19"/>
        <v>0</v>
      </c>
    </row>
    <row r="580" spans="1:10" x14ac:dyDescent="0.2">
      <c r="A580" s="4" t="s">
        <v>782</v>
      </c>
      <c r="B580" s="4" t="s">
        <v>733</v>
      </c>
      <c r="C580" s="17" t="str">
        <f t="shared" si="18"/>
        <v>NO</v>
      </c>
      <c r="D580" s="12">
        <v>0</v>
      </c>
      <c r="J580" s="10">
        <f t="shared" si="19"/>
        <v>0</v>
      </c>
    </row>
    <row r="581" spans="1:10" x14ac:dyDescent="0.2">
      <c r="A581" s="4" t="s">
        <v>783</v>
      </c>
      <c r="B581" s="4" t="s">
        <v>733</v>
      </c>
      <c r="C581" s="17" t="str">
        <f t="shared" si="18"/>
        <v>NO</v>
      </c>
      <c r="D581" s="12">
        <v>0</v>
      </c>
      <c r="J581" s="10">
        <f t="shared" si="19"/>
        <v>0</v>
      </c>
    </row>
    <row r="582" spans="1:10" x14ac:dyDescent="0.2">
      <c r="A582" s="4" t="s">
        <v>784</v>
      </c>
      <c r="B582" s="4" t="s">
        <v>733</v>
      </c>
      <c r="C582" s="17" t="str">
        <f t="shared" si="18"/>
        <v>NO</v>
      </c>
      <c r="D582" s="12">
        <v>0</v>
      </c>
      <c r="J582" s="10">
        <f t="shared" si="19"/>
        <v>0</v>
      </c>
    </row>
    <row r="583" spans="1:10" x14ac:dyDescent="0.2">
      <c r="A583" s="4" t="s">
        <v>785</v>
      </c>
      <c r="B583" s="4" t="s">
        <v>733</v>
      </c>
      <c r="C583" s="17" t="str">
        <f t="shared" si="18"/>
        <v>NO</v>
      </c>
      <c r="D583" s="12">
        <v>0</v>
      </c>
      <c r="J583" s="10">
        <f t="shared" si="19"/>
        <v>0</v>
      </c>
    </row>
    <row r="584" spans="1:10" x14ac:dyDescent="0.2">
      <c r="A584" s="4" t="s">
        <v>786</v>
      </c>
      <c r="B584" s="4" t="s">
        <v>733</v>
      </c>
      <c r="C584" s="17" t="str">
        <f t="shared" si="18"/>
        <v>NO</v>
      </c>
      <c r="D584" s="12">
        <v>0</v>
      </c>
      <c r="J584" s="10">
        <f t="shared" si="19"/>
        <v>0</v>
      </c>
    </row>
    <row r="585" spans="1:10" x14ac:dyDescent="0.2">
      <c r="A585" s="4" t="s">
        <v>787</v>
      </c>
      <c r="B585" s="4" t="s">
        <v>733</v>
      </c>
      <c r="C585" s="17" t="str">
        <f t="shared" si="18"/>
        <v>NO</v>
      </c>
      <c r="D585" s="12">
        <v>0</v>
      </c>
      <c r="J585" s="10">
        <f t="shared" si="19"/>
        <v>0</v>
      </c>
    </row>
    <row r="586" spans="1:10" x14ac:dyDescent="0.2">
      <c r="A586" s="4" t="s">
        <v>788</v>
      </c>
      <c r="B586" s="4" t="s">
        <v>733</v>
      </c>
      <c r="C586" s="17" t="str">
        <f t="shared" si="18"/>
        <v>NO</v>
      </c>
      <c r="D586" s="12">
        <v>0</v>
      </c>
      <c r="J586" s="10">
        <f t="shared" si="19"/>
        <v>0</v>
      </c>
    </row>
    <row r="587" spans="1:10" x14ac:dyDescent="0.2">
      <c r="A587" s="4" t="s">
        <v>789</v>
      </c>
      <c r="B587" s="4" t="s">
        <v>733</v>
      </c>
      <c r="C587" s="17" t="str">
        <f t="shared" si="18"/>
        <v>NO</v>
      </c>
      <c r="D587" s="12">
        <v>0</v>
      </c>
      <c r="J587" s="10">
        <f t="shared" si="19"/>
        <v>0</v>
      </c>
    </row>
    <row r="588" spans="1:10" x14ac:dyDescent="0.2">
      <c r="A588" s="4" t="s">
        <v>790</v>
      </c>
      <c r="B588" s="4" t="s">
        <v>733</v>
      </c>
      <c r="C588" s="17" t="str">
        <f t="shared" si="18"/>
        <v>NO</v>
      </c>
      <c r="D588" s="12">
        <v>0</v>
      </c>
      <c r="J588" s="10">
        <f t="shared" si="19"/>
        <v>0</v>
      </c>
    </row>
    <row r="589" spans="1:10" x14ac:dyDescent="0.2">
      <c r="A589" s="4" t="s">
        <v>791</v>
      </c>
      <c r="B589" s="4" t="s">
        <v>733</v>
      </c>
      <c r="C589" s="17" t="str">
        <f t="shared" si="18"/>
        <v>NO</v>
      </c>
      <c r="D589" s="12">
        <v>0</v>
      </c>
      <c r="J589" s="10">
        <f t="shared" si="19"/>
        <v>0</v>
      </c>
    </row>
    <row r="590" spans="1:10" x14ac:dyDescent="0.2">
      <c r="A590" s="4" t="s">
        <v>792</v>
      </c>
      <c r="B590" s="4" t="s">
        <v>733</v>
      </c>
      <c r="C590" s="17" t="str">
        <f t="shared" si="18"/>
        <v>NO</v>
      </c>
      <c r="D590" s="12">
        <v>0</v>
      </c>
      <c r="J590" s="10">
        <f t="shared" si="19"/>
        <v>0</v>
      </c>
    </row>
    <row r="591" spans="1:10" x14ac:dyDescent="0.2">
      <c r="A591" s="4" t="s">
        <v>793</v>
      </c>
      <c r="B591" s="4" t="s">
        <v>733</v>
      </c>
      <c r="C591" s="17" t="str">
        <f t="shared" si="18"/>
        <v>NO</v>
      </c>
      <c r="D591" s="12">
        <v>0</v>
      </c>
      <c r="J591" s="10">
        <f t="shared" si="19"/>
        <v>0</v>
      </c>
    </row>
    <row r="592" spans="1:10" x14ac:dyDescent="0.2">
      <c r="A592" s="4" t="s">
        <v>794</v>
      </c>
      <c r="B592" s="4" t="s">
        <v>733</v>
      </c>
      <c r="C592" s="17" t="str">
        <f t="shared" si="18"/>
        <v>NO</v>
      </c>
      <c r="D592" s="12">
        <v>0</v>
      </c>
      <c r="J592" s="10">
        <f t="shared" si="19"/>
        <v>0</v>
      </c>
    </row>
    <row r="593" spans="1:10" x14ac:dyDescent="0.2">
      <c r="A593" s="4" t="s">
        <v>795</v>
      </c>
      <c r="B593" s="4" t="s">
        <v>733</v>
      </c>
      <c r="C593" s="17" t="str">
        <f t="shared" si="18"/>
        <v>NO</v>
      </c>
      <c r="D593" s="12">
        <v>0</v>
      </c>
      <c r="J593" s="10">
        <f t="shared" si="19"/>
        <v>0</v>
      </c>
    </row>
    <row r="594" spans="1:10" x14ac:dyDescent="0.2">
      <c r="A594" s="4" t="s">
        <v>796</v>
      </c>
      <c r="B594" s="4" t="s">
        <v>733</v>
      </c>
      <c r="C594" s="17" t="str">
        <f t="shared" si="18"/>
        <v>NO</v>
      </c>
      <c r="D594" s="12">
        <v>0</v>
      </c>
      <c r="J594" s="10">
        <f t="shared" si="19"/>
        <v>0</v>
      </c>
    </row>
    <row r="595" spans="1:10" x14ac:dyDescent="0.2">
      <c r="A595" s="4" t="s">
        <v>797</v>
      </c>
      <c r="B595" s="4" t="s">
        <v>733</v>
      </c>
      <c r="C595" s="17" t="str">
        <f t="shared" si="18"/>
        <v>NO</v>
      </c>
      <c r="D595" s="12">
        <v>0</v>
      </c>
      <c r="J595" s="10">
        <f t="shared" si="19"/>
        <v>0</v>
      </c>
    </row>
    <row r="596" spans="1:10" x14ac:dyDescent="0.2">
      <c r="A596" s="4" t="s">
        <v>798</v>
      </c>
      <c r="B596" s="4" t="s">
        <v>733</v>
      </c>
      <c r="C596" s="17" t="str">
        <f t="shared" si="18"/>
        <v>NO</v>
      </c>
      <c r="D596" s="12">
        <v>0</v>
      </c>
      <c r="J596" s="10">
        <f t="shared" si="19"/>
        <v>0</v>
      </c>
    </row>
    <row r="597" spans="1:10" x14ac:dyDescent="0.2">
      <c r="A597" s="4" t="s">
        <v>799</v>
      </c>
      <c r="B597" s="4" t="s">
        <v>733</v>
      </c>
      <c r="C597" s="17" t="str">
        <f t="shared" si="18"/>
        <v>NO</v>
      </c>
      <c r="D597" s="12">
        <v>0</v>
      </c>
      <c r="J597" s="10">
        <f t="shared" si="19"/>
        <v>0</v>
      </c>
    </row>
    <row r="598" spans="1:10" x14ac:dyDescent="0.2">
      <c r="A598" s="4" t="s">
        <v>800</v>
      </c>
      <c r="B598" s="4" t="s">
        <v>733</v>
      </c>
      <c r="C598" s="17" t="str">
        <f t="shared" si="18"/>
        <v>NO</v>
      </c>
      <c r="D598" s="12">
        <v>0</v>
      </c>
      <c r="J598" s="10">
        <f t="shared" si="19"/>
        <v>0</v>
      </c>
    </row>
    <row r="599" spans="1:10" x14ac:dyDescent="0.2">
      <c r="A599" s="4" t="s">
        <v>801</v>
      </c>
      <c r="B599" s="4" t="s">
        <v>733</v>
      </c>
      <c r="C599" s="17" t="str">
        <f t="shared" si="18"/>
        <v>NO</v>
      </c>
      <c r="D599" s="12">
        <v>0</v>
      </c>
      <c r="J599" s="10">
        <f t="shared" si="19"/>
        <v>0</v>
      </c>
    </row>
    <row r="600" spans="1:10" x14ac:dyDescent="0.2">
      <c r="A600" s="4" t="s">
        <v>802</v>
      </c>
      <c r="B600" s="4" t="s">
        <v>733</v>
      </c>
      <c r="C600" s="17" t="str">
        <f t="shared" si="18"/>
        <v>NO</v>
      </c>
      <c r="D600" s="12">
        <v>0</v>
      </c>
      <c r="J600" s="10">
        <f t="shared" si="19"/>
        <v>0</v>
      </c>
    </row>
    <row r="601" spans="1:10" x14ac:dyDescent="0.2">
      <c r="A601" s="4" t="s">
        <v>803</v>
      </c>
      <c r="B601" s="4" t="s">
        <v>733</v>
      </c>
      <c r="C601" s="17" t="str">
        <f t="shared" si="18"/>
        <v>NO</v>
      </c>
      <c r="D601" s="12">
        <v>0</v>
      </c>
      <c r="J601" s="10">
        <f t="shared" si="19"/>
        <v>0</v>
      </c>
    </row>
    <row r="602" spans="1:10" x14ac:dyDescent="0.2">
      <c r="A602" s="4" t="s">
        <v>804</v>
      </c>
      <c r="B602" s="4" t="s">
        <v>733</v>
      </c>
      <c r="C602" s="17" t="str">
        <f t="shared" si="18"/>
        <v>NO</v>
      </c>
      <c r="D602" s="12">
        <v>0</v>
      </c>
      <c r="J602" s="10">
        <f t="shared" si="19"/>
        <v>0</v>
      </c>
    </row>
    <row r="603" spans="1:10" x14ac:dyDescent="0.2">
      <c r="A603" s="4" t="s">
        <v>805</v>
      </c>
      <c r="B603" s="4" t="s">
        <v>734</v>
      </c>
      <c r="C603" s="17" t="str">
        <f t="shared" si="18"/>
        <v>NO</v>
      </c>
      <c r="D603" s="12">
        <v>0</v>
      </c>
      <c r="J603" s="10">
        <f t="shared" si="19"/>
        <v>0</v>
      </c>
    </row>
    <row r="604" spans="1:10" x14ac:dyDescent="0.2">
      <c r="A604" s="4" t="s">
        <v>806</v>
      </c>
      <c r="B604" s="4" t="s">
        <v>734</v>
      </c>
      <c r="C604" s="17" t="str">
        <f t="shared" si="18"/>
        <v>NO</v>
      </c>
      <c r="D604" s="12">
        <v>0</v>
      </c>
      <c r="J604" s="10">
        <f t="shared" si="19"/>
        <v>0</v>
      </c>
    </row>
    <row r="605" spans="1:10" x14ac:dyDescent="0.2">
      <c r="A605" s="4" t="s">
        <v>765</v>
      </c>
      <c r="B605" s="4" t="s">
        <v>734</v>
      </c>
      <c r="C605" s="17" t="str">
        <f t="shared" si="18"/>
        <v>NO</v>
      </c>
      <c r="D605" s="12">
        <v>0</v>
      </c>
      <c r="J605" s="10">
        <f t="shared" si="19"/>
        <v>0</v>
      </c>
    </row>
    <row r="606" spans="1:10" x14ac:dyDescent="0.2">
      <c r="A606" s="4" t="s">
        <v>766</v>
      </c>
      <c r="B606" s="4" t="s">
        <v>734</v>
      </c>
      <c r="C606" s="17" t="str">
        <f t="shared" si="18"/>
        <v>NO</v>
      </c>
      <c r="D606" s="12">
        <v>0</v>
      </c>
      <c r="J606" s="10">
        <f t="shared" si="19"/>
        <v>0</v>
      </c>
    </row>
    <row r="607" spans="1:10" x14ac:dyDescent="0.2">
      <c r="A607" s="4" t="s">
        <v>767</v>
      </c>
      <c r="B607" s="4" t="s">
        <v>735</v>
      </c>
      <c r="C607" s="17" t="str">
        <f t="shared" si="18"/>
        <v>NO</v>
      </c>
      <c r="D607" s="12">
        <v>0</v>
      </c>
      <c r="J607" s="10">
        <f t="shared" si="19"/>
        <v>0</v>
      </c>
    </row>
    <row r="608" spans="1:10" x14ac:dyDescent="0.2">
      <c r="A608" s="4" t="s">
        <v>768</v>
      </c>
      <c r="B608" s="4" t="s">
        <v>735</v>
      </c>
      <c r="C608" s="17" t="str">
        <f t="shared" si="18"/>
        <v>NO</v>
      </c>
      <c r="D608" s="12">
        <v>0</v>
      </c>
      <c r="J608" s="10">
        <f t="shared" si="19"/>
        <v>0</v>
      </c>
    </row>
    <row r="609" spans="1:10" x14ac:dyDescent="0.2">
      <c r="A609" s="4" t="s">
        <v>807</v>
      </c>
      <c r="B609" s="4" t="s">
        <v>736</v>
      </c>
      <c r="C609" s="17" t="str">
        <f t="shared" si="18"/>
        <v>NO</v>
      </c>
      <c r="D609" s="12">
        <v>0</v>
      </c>
      <c r="J609" s="10">
        <f t="shared" si="19"/>
        <v>0</v>
      </c>
    </row>
    <row r="610" spans="1:10" x14ac:dyDescent="0.2">
      <c r="A610" s="4" t="s">
        <v>808</v>
      </c>
      <c r="B610" s="4" t="s">
        <v>736</v>
      </c>
      <c r="C610" s="17" t="str">
        <f t="shared" si="18"/>
        <v>NO</v>
      </c>
      <c r="D610" s="12">
        <v>0</v>
      </c>
      <c r="J610" s="10">
        <f t="shared" si="19"/>
        <v>0</v>
      </c>
    </row>
    <row r="611" spans="1:10" x14ac:dyDescent="0.2">
      <c r="A611" s="4" t="s">
        <v>809</v>
      </c>
      <c r="B611" s="4" t="s">
        <v>736</v>
      </c>
      <c r="C611" s="17" t="str">
        <f t="shared" si="18"/>
        <v>NO</v>
      </c>
      <c r="D611" s="12">
        <v>0</v>
      </c>
      <c r="J611" s="10">
        <f t="shared" si="19"/>
        <v>0</v>
      </c>
    </row>
    <row r="612" spans="1:10" x14ac:dyDescent="0.2">
      <c r="A612" s="4" t="s">
        <v>810</v>
      </c>
      <c r="B612" s="4" t="s">
        <v>736</v>
      </c>
      <c r="C612" s="17" t="str">
        <f t="shared" si="18"/>
        <v>NO</v>
      </c>
      <c r="D612" s="12">
        <v>0</v>
      </c>
      <c r="J612" s="10">
        <f t="shared" si="19"/>
        <v>0</v>
      </c>
    </row>
    <row r="613" spans="1:10" x14ac:dyDescent="0.2">
      <c r="A613" s="4" t="s">
        <v>811</v>
      </c>
      <c r="B613" s="4" t="s">
        <v>736</v>
      </c>
      <c r="C613" s="17" t="str">
        <f t="shared" si="18"/>
        <v>NO</v>
      </c>
      <c r="D613" s="12">
        <v>0</v>
      </c>
      <c r="J613" s="10">
        <f t="shared" si="19"/>
        <v>0</v>
      </c>
    </row>
    <row r="614" spans="1:10" x14ac:dyDescent="0.2">
      <c r="A614" s="4" t="s">
        <v>812</v>
      </c>
      <c r="B614" s="4" t="s">
        <v>736</v>
      </c>
      <c r="C614" s="17" t="str">
        <f t="shared" si="18"/>
        <v>NO</v>
      </c>
      <c r="D614" s="12">
        <v>0</v>
      </c>
      <c r="J614" s="10">
        <f t="shared" si="19"/>
        <v>0</v>
      </c>
    </row>
    <row r="615" spans="1:10" x14ac:dyDescent="0.2">
      <c r="A615" s="4" t="s">
        <v>813</v>
      </c>
      <c r="B615" s="4" t="s">
        <v>736</v>
      </c>
      <c r="C615" s="17" t="str">
        <f t="shared" si="18"/>
        <v>NO</v>
      </c>
      <c r="D615" s="12">
        <v>0</v>
      </c>
      <c r="J615" s="10">
        <f t="shared" si="19"/>
        <v>0</v>
      </c>
    </row>
    <row r="616" spans="1:10" x14ac:dyDescent="0.2">
      <c r="A616" s="4" t="s">
        <v>814</v>
      </c>
      <c r="B616" s="4" t="s">
        <v>736</v>
      </c>
      <c r="C616" s="17" t="str">
        <f t="shared" si="18"/>
        <v>NO</v>
      </c>
      <c r="D616" s="12">
        <v>0</v>
      </c>
      <c r="J616" s="10">
        <f t="shared" si="19"/>
        <v>0</v>
      </c>
    </row>
    <row r="617" spans="1:10" x14ac:dyDescent="0.2">
      <c r="A617" s="4" t="s">
        <v>815</v>
      </c>
      <c r="B617" s="4" t="s">
        <v>736</v>
      </c>
      <c r="C617" s="17" t="str">
        <f t="shared" si="18"/>
        <v>NO</v>
      </c>
      <c r="D617" s="12">
        <v>0</v>
      </c>
      <c r="J617" s="10">
        <f t="shared" si="19"/>
        <v>0</v>
      </c>
    </row>
    <row r="618" spans="1:10" x14ac:dyDescent="0.2">
      <c r="A618" s="4" t="s">
        <v>816</v>
      </c>
      <c r="B618" s="4" t="s">
        <v>736</v>
      </c>
      <c r="C618" s="17" t="str">
        <f t="shared" si="18"/>
        <v>NO</v>
      </c>
      <c r="D618" s="12">
        <v>0</v>
      </c>
      <c r="J618" s="10">
        <f t="shared" si="19"/>
        <v>0</v>
      </c>
    </row>
    <row r="619" spans="1:10" x14ac:dyDescent="0.2">
      <c r="A619" s="4" t="s">
        <v>817</v>
      </c>
      <c r="B619" s="4" t="s">
        <v>736</v>
      </c>
      <c r="C619" s="17" t="str">
        <f t="shared" si="18"/>
        <v>NO</v>
      </c>
      <c r="D619" s="12">
        <v>0</v>
      </c>
      <c r="J619" s="10">
        <f t="shared" si="19"/>
        <v>0</v>
      </c>
    </row>
    <row r="620" spans="1:10" x14ac:dyDescent="0.2">
      <c r="A620" s="4" t="s">
        <v>818</v>
      </c>
      <c r="B620" s="4" t="s">
        <v>736</v>
      </c>
      <c r="C620" s="17" t="str">
        <f t="shared" si="18"/>
        <v>NO</v>
      </c>
      <c r="D620" s="12">
        <v>0</v>
      </c>
      <c r="J620" s="10">
        <f t="shared" si="19"/>
        <v>0</v>
      </c>
    </row>
    <row r="621" spans="1:10" x14ac:dyDescent="0.2">
      <c r="A621" s="4" t="s">
        <v>819</v>
      </c>
      <c r="B621" s="4" t="s">
        <v>736</v>
      </c>
      <c r="C621" s="17" t="str">
        <f t="shared" si="18"/>
        <v>NO</v>
      </c>
      <c r="D621" s="12">
        <v>0</v>
      </c>
      <c r="J621" s="10">
        <f t="shared" si="19"/>
        <v>0</v>
      </c>
    </row>
    <row r="622" spans="1:10" x14ac:dyDescent="0.2">
      <c r="A622" s="4" t="s">
        <v>820</v>
      </c>
      <c r="B622" s="4" t="s">
        <v>736</v>
      </c>
      <c r="C622" s="17" t="str">
        <f t="shared" si="18"/>
        <v>NO</v>
      </c>
      <c r="D622" s="12">
        <v>0</v>
      </c>
      <c r="J622" s="10">
        <f t="shared" si="19"/>
        <v>0</v>
      </c>
    </row>
    <row r="623" spans="1:10" x14ac:dyDescent="0.2">
      <c r="A623" s="4" t="s">
        <v>821</v>
      </c>
      <c r="B623" s="4" t="s">
        <v>736</v>
      </c>
      <c r="C623" s="17" t="str">
        <f t="shared" si="18"/>
        <v>NO</v>
      </c>
      <c r="D623" s="12">
        <v>0</v>
      </c>
      <c r="J623" s="10">
        <f t="shared" si="19"/>
        <v>0</v>
      </c>
    </row>
    <row r="624" spans="1:10" x14ac:dyDescent="0.2">
      <c r="A624" s="4" t="s">
        <v>822</v>
      </c>
      <c r="B624" s="4" t="s">
        <v>736</v>
      </c>
      <c r="C624" s="17" t="str">
        <f t="shared" si="18"/>
        <v>NO</v>
      </c>
      <c r="D624" s="12">
        <v>0</v>
      </c>
      <c r="J624" s="10">
        <f t="shared" si="19"/>
        <v>0</v>
      </c>
    </row>
    <row r="625" spans="1:10" x14ac:dyDescent="0.2">
      <c r="A625" s="4" t="s">
        <v>823</v>
      </c>
      <c r="B625" s="4" t="s">
        <v>736</v>
      </c>
      <c r="C625" s="17" t="str">
        <f t="shared" si="18"/>
        <v>NO</v>
      </c>
      <c r="D625" s="12">
        <v>0</v>
      </c>
      <c r="J625" s="10">
        <f t="shared" si="19"/>
        <v>0</v>
      </c>
    </row>
    <row r="626" spans="1:10" x14ac:dyDescent="0.2">
      <c r="A626" s="4" t="s">
        <v>824</v>
      </c>
      <c r="B626" s="4" t="s">
        <v>736</v>
      </c>
      <c r="C626" s="17" t="str">
        <f t="shared" si="18"/>
        <v>NO</v>
      </c>
      <c r="D626" s="12">
        <v>0</v>
      </c>
      <c r="J626" s="10">
        <f t="shared" si="19"/>
        <v>0</v>
      </c>
    </row>
    <row r="627" spans="1:10" x14ac:dyDescent="0.2">
      <c r="A627" s="4" t="s">
        <v>825</v>
      </c>
      <c r="B627" s="4" t="s">
        <v>736</v>
      </c>
      <c r="C627" s="17" t="str">
        <f t="shared" si="18"/>
        <v>NO</v>
      </c>
      <c r="D627" s="12">
        <v>0</v>
      </c>
      <c r="J627" s="10">
        <f t="shared" si="19"/>
        <v>0</v>
      </c>
    </row>
    <row r="628" spans="1:10" x14ac:dyDescent="0.2">
      <c r="A628" s="4" t="s">
        <v>826</v>
      </c>
      <c r="B628" s="4" t="s">
        <v>736</v>
      </c>
      <c r="C628" s="17" t="str">
        <f t="shared" si="18"/>
        <v>NO</v>
      </c>
      <c r="D628" s="12">
        <v>0</v>
      </c>
      <c r="J628" s="10">
        <f t="shared" si="19"/>
        <v>0</v>
      </c>
    </row>
    <row r="629" spans="1:10" x14ac:dyDescent="0.2">
      <c r="A629" s="4" t="s">
        <v>827</v>
      </c>
      <c r="B629" s="4" t="s">
        <v>736</v>
      </c>
      <c r="C629" s="17" t="str">
        <f t="shared" si="18"/>
        <v>NO</v>
      </c>
      <c r="D629" s="12">
        <v>0</v>
      </c>
      <c r="J629" s="10">
        <f t="shared" si="19"/>
        <v>0</v>
      </c>
    </row>
    <row r="630" spans="1:10" x14ac:dyDescent="0.2">
      <c r="A630" s="4" t="s">
        <v>828</v>
      </c>
      <c r="B630" s="4" t="s">
        <v>736</v>
      </c>
      <c r="C630" s="17" t="str">
        <f t="shared" si="18"/>
        <v>NO</v>
      </c>
      <c r="D630" s="12">
        <v>0</v>
      </c>
      <c r="J630" s="10">
        <f t="shared" si="19"/>
        <v>0</v>
      </c>
    </row>
    <row r="631" spans="1:10" x14ac:dyDescent="0.2">
      <c r="A631" s="4" t="s">
        <v>829</v>
      </c>
      <c r="B631" s="4" t="s">
        <v>736</v>
      </c>
      <c r="C631" s="17" t="str">
        <f t="shared" si="18"/>
        <v>NO</v>
      </c>
      <c r="D631" s="12">
        <v>0</v>
      </c>
      <c r="J631" s="10">
        <f t="shared" si="19"/>
        <v>0</v>
      </c>
    </row>
    <row r="632" spans="1:10" x14ac:dyDescent="0.2">
      <c r="A632" s="4" t="s">
        <v>830</v>
      </c>
      <c r="B632" s="4" t="s">
        <v>736</v>
      </c>
      <c r="C632" s="17" t="str">
        <f t="shared" si="18"/>
        <v>NO</v>
      </c>
      <c r="D632" s="12">
        <v>0</v>
      </c>
      <c r="J632" s="10">
        <f t="shared" si="19"/>
        <v>0</v>
      </c>
    </row>
    <row r="633" spans="1:10" x14ac:dyDescent="0.2">
      <c r="A633" s="4" t="s">
        <v>444</v>
      </c>
      <c r="B633" s="4" t="s">
        <v>737</v>
      </c>
      <c r="C633" s="17" t="str">
        <f t="shared" si="18"/>
        <v>NO</v>
      </c>
      <c r="D633" s="12">
        <v>0</v>
      </c>
      <c r="J633" s="10">
        <f t="shared" si="19"/>
        <v>0</v>
      </c>
    </row>
    <row r="634" spans="1:10" x14ac:dyDescent="0.2">
      <c r="A634" s="4" t="s">
        <v>831</v>
      </c>
      <c r="B634" s="4" t="s">
        <v>738</v>
      </c>
      <c r="C634" s="17" t="str">
        <f t="shared" si="18"/>
        <v>NO</v>
      </c>
      <c r="D634" s="12">
        <v>0</v>
      </c>
      <c r="J634" s="10">
        <f t="shared" si="19"/>
        <v>0</v>
      </c>
    </row>
    <row r="635" spans="1:10" x14ac:dyDescent="0.2">
      <c r="A635" s="4" t="s">
        <v>832</v>
      </c>
      <c r="B635" s="4" t="s">
        <v>738</v>
      </c>
      <c r="C635" s="17" t="str">
        <f t="shared" si="18"/>
        <v>NO</v>
      </c>
      <c r="D635" s="12">
        <v>0</v>
      </c>
      <c r="J635" s="10">
        <f t="shared" si="19"/>
        <v>0</v>
      </c>
    </row>
    <row r="636" spans="1:10" x14ac:dyDescent="0.2">
      <c r="A636" s="4" t="s">
        <v>833</v>
      </c>
      <c r="B636" s="4" t="s">
        <v>738</v>
      </c>
      <c r="C636" s="17" t="str">
        <f t="shared" si="18"/>
        <v>NO</v>
      </c>
      <c r="D636" s="12">
        <v>0</v>
      </c>
      <c r="J636" s="10">
        <f t="shared" si="19"/>
        <v>0</v>
      </c>
    </row>
    <row r="637" spans="1:10" x14ac:dyDescent="0.2">
      <c r="A637" s="4" t="s">
        <v>834</v>
      </c>
      <c r="B637" s="4" t="s">
        <v>738</v>
      </c>
      <c r="C637" s="17" t="str">
        <f t="shared" si="18"/>
        <v>NO</v>
      </c>
      <c r="D637" s="12">
        <v>0</v>
      </c>
      <c r="J637" s="10">
        <f t="shared" si="19"/>
        <v>0</v>
      </c>
    </row>
    <row r="638" spans="1:10" x14ac:dyDescent="0.2">
      <c r="A638" s="4" t="s">
        <v>835</v>
      </c>
      <c r="B638" s="4" t="s">
        <v>738</v>
      </c>
      <c r="C638" s="17" t="str">
        <f t="shared" si="18"/>
        <v>NO</v>
      </c>
      <c r="D638" s="12">
        <v>0</v>
      </c>
      <c r="J638" s="10">
        <f t="shared" si="19"/>
        <v>0</v>
      </c>
    </row>
    <row r="639" spans="1:10" x14ac:dyDescent="0.2">
      <c r="A639" s="4" t="s">
        <v>836</v>
      </c>
      <c r="B639" s="4" t="s">
        <v>739</v>
      </c>
      <c r="C639" s="17" t="str">
        <f t="shared" si="18"/>
        <v>NO</v>
      </c>
      <c r="D639" s="12">
        <v>0</v>
      </c>
      <c r="J639" s="10">
        <f t="shared" si="19"/>
        <v>0</v>
      </c>
    </row>
    <row r="640" spans="1:10" x14ac:dyDescent="0.2">
      <c r="A640" s="4" t="s">
        <v>837</v>
      </c>
      <c r="B640" s="4" t="s">
        <v>739</v>
      </c>
      <c r="C640" s="17" t="str">
        <f t="shared" si="18"/>
        <v>NO</v>
      </c>
      <c r="D640" s="12">
        <v>0</v>
      </c>
      <c r="J640" s="10">
        <f t="shared" si="19"/>
        <v>0</v>
      </c>
    </row>
    <row r="641" spans="1:10" x14ac:dyDescent="0.2">
      <c r="A641" s="4" t="s">
        <v>838</v>
      </c>
      <c r="B641" s="4" t="s">
        <v>739</v>
      </c>
      <c r="C641" s="17" t="str">
        <f t="shared" si="18"/>
        <v>NO</v>
      </c>
      <c r="D641" s="12">
        <v>0</v>
      </c>
      <c r="J641" s="10">
        <f t="shared" si="19"/>
        <v>0</v>
      </c>
    </row>
    <row r="642" spans="1:10" x14ac:dyDescent="0.2">
      <c r="A642" s="4" t="s">
        <v>839</v>
      </c>
      <c r="B642" s="4" t="s">
        <v>739</v>
      </c>
      <c r="C642" s="17" t="str">
        <f t="shared" ref="C642:C705" si="20">VLOOKUP(B642, quota_order_numbers2, 6, FALSE)</f>
        <v>NO</v>
      </c>
      <c r="D642" s="12">
        <v>0</v>
      </c>
      <c r="J642" s="10">
        <f t="shared" ref="J642:J705" si="21">VLOOKUP(B642, quota_order_numbers2, 2, FALSE)</f>
        <v>0</v>
      </c>
    </row>
    <row r="643" spans="1:10" x14ac:dyDescent="0.2">
      <c r="A643" s="4" t="s">
        <v>840</v>
      </c>
      <c r="B643" s="4" t="s">
        <v>739</v>
      </c>
      <c r="C643" s="17" t="str">
        <f t="shared" si="20"/>
        <v>NO</v>
      </c>
      <c r="D643" s="12">
        <v>0</v>
      </c>
      <c r="J643" s="10">
        <f t="shared" si="21"/>
        <v>0</v>
      </c>
    </row>
    <row r="644" spans="1:10" x14ac:dyDescent="0.2">
      <c r="A644" s="4" t="s">
        <v>841</v>
      </c>
      <c r="B644" s="4" t="s">
        <v>739</v>
      </c>
      <c r="C644" s="17" t="str">
        <f t="shared" si="20"/>
        <v>NO</v>
      </c>
      <c r="D644" s="12">
        <v>0</v>
      </c>
      <c r="J644" s="10">
        <f t="shared" si="21"/>
        <v>0</v>
      </c>
    </row>
    <row r="645" spans="1:10" x14ac:dyDescent="0.2">
      <c r="A645" s="4" t="s">
        <v>842</v>
      </c>
      <c r="B645" s="4" t="s">
        <v>739</v>
      </c>
      <c r="C645" s="17" t="str">
        <f t="shared" si="20"/>
        <v>NO</v>
      </c>
      <c r="D645" s="12">
        <v>0</v>
      </c>
      <c r="J645" s="10">
        <f t="shared" si="21"/>
        <v>0</v>
      </c>
    </row>
    <row r="646" spans="1:10" x14ac:dyDescent="0.2">
      <c r="A646" s="4" t="s">
        <v>843</v>
      </c>
      <c r="B646" s="4" t="s">
        <v>739</v>
      </c>
      <c r="C646" s="17" t="str">
        <f t="shared" si="20"/>
        <v>NO</v>
      </c>
      <c r="D646" s="12">
        <v>0</v>
      </c>
      <c r="J646" s="10">
        <f t="shared" si="21"/>
        <v>0</v>
      </c>
    </row>
    <row r="647" spans="1:10" x14ac:dyDescent="0.2">
      <c r="A647" s="4" t="s">
        <v>844</v>
      </c>
      <c r="B647" s="4" t="s">
        <v>739</v>
      </c>
      <c r="C647" s="17" t="str">
        <f t="shared" si="20"/>
        <v>NO</v>
      </c>
      <c r="D647" s="12">
        <v>0</v>
      </c>
      <c r="J647" s="10">
        <f t="shared" si="21"/>
        <v>0</v>
      </c>
    </row>
    <row r="648" spans="1:10" x14ac:dyDescent="0.2">
      <c r="A648" s="4" t="s">
        <v>845</v>
      </c>
      <c r="B648" s="4" t="s">
        <v>739</v>
      </c>
      <c r="C648" s="17" t="str">
        <f t="shared" si="20"/>
        <v>NO</v>
      </c>
      <c r="D648" s="12">
        <v>0</v>
      </c>
      <c r="J648" s="10">
        <f t="shared" si="21"/>
        <v>0</v>
      </c>
    </row>
    <row r="649" spans="1:10" x14ac:dyDescent="0.2">
      <c r="A649" s="4" t="s">
        <v>846</v>
      </c>
      <c r="B649" s="4" t="s">
        <v>739</v>
      </c>
      <c r="C649" s="17" t="str">
        <f t="shared" si="20"/>
        <v>NO</v>
      </c>
      <c r="D649" s="12">
        <v>0</v>
      </c>
      <c r="J649" s="10">
        <f t="shared" si="21"/>
        <v>0</v>
      </c>
    </row>
    <row r="650" spans="1:10" x14ac:dyDescent="0.2">
      <c r="A650" s="4" t="s">
        <v>847</v>
      </c>
      <c r="B650" s="4" t="s">
        <v>740</v>
      </c>
      <c r="C650" s="17" t="str">
        <f t="shared" si="20"/>
        <v>NO</v>
      </c>
      <c r="D650" s="12">
        <v>0</v>
      </c>
      <c r="J650" s="10">
        <f t="shared" si="21"/>
        <v>0</v>
      </c>
    </row>
    <row r="651" spans="1:10" x14ac:dyDescent="0.2">
      <c r="A651" s="4" t="s">
        <v>848</v>
      </c>
      <c r="B651" s="4" t="s">
        <v>741</v>
      </c>
      <c r="C651" s="17" t="str">
        <f t="shared" si="20"/>
        <v>NO</v>
      </c>
      <c r="D651" s="12">
        <v>0</v>
      </c>
      <c r="J651" s="10">
        <f t="shared" si="21"/>
        <v>0</v>
      </c>
    </row>
    <row r="652" spans="1:10" x14ac:dyDescent="0.2">
      <c r="A652" s="4" t="s">
        <v>490</v>
      </c>
      <c r="B652" s="4" t="s">
        <v>741</v>
      </c>
      <c r="C652" s="17" t="str">
        <f t="shared" si="20"/>
        <v>NO</v>
      </c>
      <c r="D652" s="12">
        <v>0</v>
      </c>
      <c r="J652" s="10">
        <f t="shared" si="21"/>
        <v>0</v>
      </c>
    </row>
    <row r="653" spans="1:10" x14ac:dyDescent="0.2">
      <c r="A653" s="4" t="s">
        <v>493</v>
      </c>
      <c r="B653" s="4" t="s">
        <v>741</v>
      </c>
      <c r="C653" s="17" t="str">
        <f t="shared" si="20"/>
        <v>NO</v>
      </c>
      <c r="D653" s="12">
        <v>0</v>
      </c>
      <c r="J653" s="10">
        <f t="shared" si="21"/>
        <v>0</v>
      </c>
    </row>
    <row r="654" spans="1:10" x14ac:dyDescent="0.2">
      <c r="A654" s="4" t="s">
        <v>849</v>
      </c>
      <c r="B654" s="4" t="s">
        <v>742</v>
      </c>
      <c r="C654" s="17" t="str">
        <f t="shared" si="20"/>
        <v>NO</v>
      </c>
      <c r="D654" s="12">
        <v>0</v>
      </c>
      <c r="J654" s="10">
        <f t="shared" si="21"/>
        <v>0</v>
      </c>
    </row>
    <row r="655" spans="1:10" x14ac:dyDescent="0.2">
      <c r="A655" s="4" t="s">
        <v>850</v>
      </c>
      <c r="B655" s="4" t="s">
        <v>742</v>
      </c>
      <c r="C655" s="17" t="str">
        <f t="shared" si="20"/>
        <v>NO</v>
      </c>
      <c r="D655" s="12">
        <v>0</v>
      </c>
      <c r="J655" s="10">
        <f t="shared" si="21"/>
        <v>0</v>
      </c>
    </row>
    <row r="656" spans="1:10" x14ac:dyDescent="0.2">
      <c r="A656" s="4" t="s">
        <v>851</v>
      </c>
      <c r="B656" s="4" t="s">
        <v>742</v>
      </c>
      <c r="C656" s="17" t="str">
        <f t="shared" si="20"/>
        <v>NO</v>
      </c>
      <c r="D656" s="12">
        <v>0</v>
      </c>
      <c r="J656" s="10">
        <f t="shared" si="21"/>
        <v>0</v>
      </c>
    </row>
    <row r="657" spans="1:10" x14ac:dyDescent="0.2">
      <c r="A657" s="4" t="s">
        <v>852</v>
      </c>
      <c r="B657" s="4" t="s">
        <v>742</v>
      </c>
      <c r="C657" s="17" t="str">
        <f t="shared" si="20"/>
        <v>NO</v>
      </c>
      <c r="D657" s="12">
        <v>0</v>
      </c>
      <c r="J657" s="10">
        <f t="shared" si="21"/>
        <v>0</v>
      </c>
    </row>
    <row r="658" spans="1:10" x14ac:dyDescent="0.2">
      <c r="A658" s="4" t="s">
        <v>853</v>
      </c>
      <c r="B658" s="4" t="s">
        <v>742</v>
      </c>
      <c r="C658" s="17" t="str">
        <f t="shared" si="20"/>
        <v>NO</v>
      </c>
      <c r="D658" s="12">
        <v>0</v>
      </c>
      <c r="J658" s="10">
        <f t="shared" si="21"/>
        <v>0</v>
      </c>
    </row>
    <row r="659" spans="1:10" x14ac:dyDescent="0.2">
      <c r="A659" s="4" t="s">
        <v>854</v>
      </c>
      <c r="B659" s="4" t="s">
        <v>742</v>
      </c>
      <c r="C659" s="17" t="str">
        <f t="shared" si="20"/>
        <v>NO</v>
      </c>
      <c r="D659" s="12">
        <v>0</v>
      </c>
      <c r="J659" s="10">
        <f t="shared" si="21"/>
        <v>0</v>
      </c>
    </row>
    <row r="660" spans="1:10" x14ac:dyDescent="0.2">
      <c r="A660" s="4" t="s">
        <v>855</v>
      </c>
      <c r="B660" s="4" t="s">
        <v>742</v>
      </c>
      <c r="C660" s="17" t="str">
        <f t="shared" si="20"/>
        <v>NO</v>
      </c>
      <c r="D660" s="12">
        <v>0</v>
      </c>
      <c r="J660" s="10">
        <f t="shared" si="21"/>
        <v>0</v>
      </c>
    </row>
    <row r="661" spans="1:10" x14ac:dyDescent="0.2">
      <c r="A661" s="4" t="s">
        <v>856</v>
      </c>
      <c r="B661" s="4" t="s">
        <v>742</v>
      </c>
      <c r="C661" s="17" t="str">
        <f t="shared" si="20"/>
        <v>NO</v>
      </c>
      <c r="D661" s="12">
        <v>0</v>
      </c>
      <c r="J661" s="10">
        <f t="shared" si="21"/>
        <v>0</v>
      </c>
    </row>
    <row r="662" spans="1:10" x14ac:dyDescent="0.2">
      <c r="A662" s="4" t="s">
        <v>857</v>
      </c>
      <c r="B662" s="4" t="s">
        <v>742</v>
      </c>
      <c r="C662" s="17" t="str">
        <f t="shared" si="20"/>
        <v>NO</v>
      </c>
      <c r="D662" s="12">
        <v>0</v>
      </c>
      <c r="J662" s="10">
        <f t="shared" si="21"/>
        <v>0</v>
      </c>
    </row>
    <row r="663" spans="1:10" x14ac:dyDescent="0.2">
      <c r="A663" s="4" t="s">
        <v>496</v>
      </c>
      <c r="B663" s="4" t="s">
        <v>742</v>
      </c>
      <c r="C663" s="17" t="str">
        <f t="shared" si="20"/>
        <v>NO</v>
      </c>
      <c r="D663" s="12">
        <v>0</v>
      </c>
      <c r="J663" s="10">
        <f t="shared" si="21"/>
        <v>0</v>
      </c>
    </row>
    <row r="664" spans="1:10" x14ac:dyDescent="0.2">
      <c r="A664" s="4" t="s">
        <v>858</v>
      </c>
      <c r="B664" s="4" t="s">
        <v>742</v>
      </c>
      <c r="C664" s="17" t="str">
        <f t="shared" si="20"/>
        <v>NO</v>
      </c>
      <c r="D664" s="12">
        <v>0</v>
      </c>
      <c r="J664" s="10">
        <f t="shared" si="21"/>
        <v>0</v>
      </c>
    </row>
    <row r="665" spans="1:10" x14ac:dyDescent="0.2">
      <c r="A665" s="4" t="s">
        <v>859</v>
      </c>
      <c r="B665" s="4" t="s">
        <v>742</v>
      </c>
      <c r="C665" s="17" t="str">
        <f t="shared" si="20"/>
        <v>NO</v>
      </c>
      <c r="D665" s="12">
        <v>0</v>
      </c>
      <c r="J665" s="10">
        <f t="shared" si="21"/>
        <v>0</v>
      </c>
    </row>
    <row r="666" spans="1:10" x14ac:dyDescent="0.2">
      <c r="A666" s="4" t="s">
        <v>860</v>
      </c>
      <c r="B666" s="4" t="s">
        <v>742</v>
      </c>
      <c r="C666" s="17" t="str">
        <f t="shared" si="20"/>
        <v>NO</v>
      </c>
      <c r="D666" s="12">
        <v>0</v>
      </c>
      <c r="J666" s="10">
        <f t="shared" si="21"/>
        <v>0</v>
      </c>
    </row>
    <row r="667" spans="1:10" x14ac:dyDescent="0.2">
      <c r="A667" s="4" t="s">
        <v>861</v>
      </c>
      <c r="B667" s="4" t="s">
        <v>742</v>
      </c>
      <c r="C667" s="17" t="str">
        <f t="shared" si="20"/>
        <v>NO</v>
      </c>
      <c r="D667" s="12">
        <v>0</v>
      </c>
      <c r="J667" s="10">
        <f t="shared" si="21"/>
        <v>0</v>
      </c>
    </row>
    <row r="668" spans="1:10" x14ac:dyDescent="0.2">
      <c r="A668" s="4" t="s">
        <v>862</v>
      </c>
      <c r="B668" s="4" t="s">
        <v>743</v>
      </c>
      <c r="C668" s="17" t="str">
        <f t="shared" si="20"/>
        <v>NO</v>
      </c>
      <c r="D668" s="12">
        <v>0</v>
      </c>
      <c r="J668" s="10">
        <f t="shared" si="21"/>
        <v>0</v>
      </c>
    </row>
    <row r="669" spans="1:10" x14ac:dyDescent="0.2">
      <c r="A669" s="4" t="s">
        <v>863</v>
      </c>
      <c r="B669" s="4" t="s">
        <v>743</v>
      </c>
      <c r="C669" s="17" t="str">
        <f t="shared" si="20"/>
        <v>NO</v>
      </c>
      <c r="D669" s="12">
        <v>0</v>
      </c>
      <c r="J669" s="10">
        <f t="shared" si="21"/>
        <v>0</v>
      </c>
    </row>
    <row r="670" spans="1:10" x14ac:dyDescent="0.2">
      <c r="A670" s="4" t="s">
        <v>864</v>
      </c>
      <c r="B670" s="4" t="s">
        <v>743</v>
      </c>
      <c r="C670" s="17" t="str">
        <f t="shared" si="20"/>
        <v>NO</v>
      </c>
      <c r="D670" s="12">
        <v>0</v>
      </c>
      <c r="J670" s="10">
        <f t="shared" si="21"/>
        <v>0</v>
      </c>
    </row>
    <row r="671" spans="1:10" x14ac:dyDescent="0.2">
      <c r="A671" s="4" t="s">
        <v>865</v>
      </c>
      <c r="B671" s="4" t="s">
        <v>743</v>
      </c>
      <c r="C671" s="17" t="str">
        <f t="shared" si="20"/>
        <v>NO</v>
      </c>
      <c r="D671" s="12">
        <v>0</v>
      </c>
      <c r="J671" s="10">
        <f t="shared" si="21"/>
        <v>0</v>
      </c>
    </row>
    <row r="672" spans="1:10" x14ac:dyDescent="0.2">
      <c r="A672" s="4" t="s">
        <v>866</v>
      </c>
      <c r="B672" s="4" t="s">
        <v>743</v>
      </c>
      <c r="C672" s="17" t="str">
        <f t="shared" si="20"/>
        <v>NO</v>
      </c>
      <c r="D672" s="12">
        <v>0</v>
      </c>
      <c r="J672" s="10">
        <f t="shared" si="21"/>
        <v>0</v>
      </c>
    </row>
    <row r="673" spans="1:10" x14ac:dyDescent="0.2">
      <c r="A673" s="4" t="s">
        <v>867</v>
      </c>
      <c r="B673" s="4" t="s">
        <v>743</v>
      </c>
      <c r="C673" s="17" t="str">
        <f t="shared" si="20"/>
        <v>NO</v>
      </c>
      <c r="D673" s="12">
        <v>0</v>
      </c>
      <c r="J673" s="10">
        <f t="shared" si="21"/>
        <v>0</v>
      </c>
    </row>
    <row r="674" spans="1:10" x14ac:dyDescent="0.2">
      <c r="A674" s="4" t="s">
        <v>868</v>
      </c>
      <c r="B674" s="4" t="s">
        <v>743</v>
      </c>
      <c r="C674" s="17" t="str">
        <f t="shared" si="20"/>
        <v>NO</v>
      </c>
      <c r="D674" s="12">
        <v>0</v>
      </c>
      <c r="J674" s="10">
        <f t="shared" si="21"/>
        <v>0</v>
      </c>
    </row>
    <row r="675" spans="1:10" x14ac:dyDescent="0.2">
      <c r="A675" s="4" t="s">
        <v>869</v>
      </c>
      <c r="B675" s="4" t="s">
        <v>743</v>
      </c>
      <c r="C675" s="17" t="str">
        <f t="shared" si="20"/>
        <v>NO</v>
      </c>
      <c r="D675" s="12">
        <v>0</v>
      </c>
      <c r="J675" s="10">
        <f t="shared" si="21"/>
        <v>0</v>
      </c>
    </row>
    <row r="676" spans="1:10" x14ac:dyDescent="0.2">
      <c r="A676" s="4" t="s">
        <v>870</v>
      </c>
      <c r="B676" s="4" t="s">
        <v>743</v>
      </c>
      <c r="C676" s="17" t="str">
        <f t="shared" si="20"/>
        <v>NO</v>
      </c>
      <c r="D676" s="12">
        <v>0</v>
      </c>
      <c r="J676" s="10">
        <f t="shared" si="21"/>
        <v>0</v>
      </c>
    </row>
    <row r="677" spans="1:10" x14ac:dyDescent="0.2">
      <c r="A677" s="4" t="s">
        <v>871</v>
      </c>
      <c r="B677" s="4" t="s">
        <v>743</v>
      </c>
      <c r="C677" s="17" t="str">
        <f t="shared" si="20"/>
        <v>NO</v>
      </c>
      <c r="D677" s="12">
        <v>0</v>
      </c>
      <c r="J677" s="10">
        <f t="shared" si="21"/>
        <v>0</v>
      </c>
    </row>
    <row r="678" spans="1:10" x14ac:dyDescent="0.2">
      <c r="A678" s="4" t="s">
        <v>872</v>
      </c>
      <c r="B678" s="4" t="s">
        <v>743</v>
      </c>
      <c r="C678" s="17" t="str">
        <f t="shared" si="20"/>
        <v>NO</v>
      </c>
      <c r="D678" s="12">
        <v>0</v>
      </c>
      <c r="J678" s="10">
        <f t="shared" si="21"/>
        <v>0</v>
      </c>
    </row>
    <row r="679" spans="1:10" x14ac:dyDescent="0.2">
      <c r="A679" s="4" t="s">
        <v>873</v>
      </c>
      <c r="B679" s="4" t="s">
        <v>743</v>
      </c>
      <c r="C679" s="17" t="str">
        <f t="shared" si="20"/>
        <v>NO</v>
      </c>
      <c r="D679" s="12">
        <v>0</v>
      </c>
      <c r="J679" s="10">
        <f t="shared" si="21"/>
        <v>0</v>
      </c>
    </row>
    <row r="680" spans="1:10" x14ac:dyDescent="0.2">
      <c r="A680" s="4" t="s">
        <v>874</v>
      </c>
      <c r="B680" s="4" t="s">
        <v>743</v>
      </c>
      <c r="C680" s="17" t="str">
        <f t="shared" si="20"/>
        <v>NO</v>
      </c>
      <c r="D680" s="12">
        <v>0</v>
      </c>
      <c r="J680" s="10">
        <f t="shared" si="21"/>
        <v>0</v>
      </c>
    </row>
    <row r="681" spans="1:10" x14ac:dyDescent="0.2">
      <c r="A681" s="4" t="s">
        <v>862</v>
      </c>
      <c r="B681" s="4" t="s">
        <v>744</v>
      </c>
      <c r="C681" s="17" t="str">
        <f t="shared" si="20"/>
        <v>NO</v>
      </c>
      <c r="D681" s="12">
        <v>0</v>
      </c>
      <c r="J681" s="10">
        <f t="shared" si="21"/>
        <v>0</v>
      </c>
    </row>
    <row r="682" spans="1:10" x14ac:dyDescent="0.2">
      <c r="A682" s="4" t="s">
        <v>863</v>
      </c>
      <c r="B682" s="4" t="s">
        <v>744</v>
      </c>
      <c r="C682" s="17" t="str">
        <f t="shared" si="20"/>
        <v>NO</v>
      </c>
      <c r="D682" s="12">
        <v>0</v>
      </c>
      <c r="J682" s="10">
        <f t="shared" si="21"/>
        <v>0</v>
      </c>
    </row>
    <row r="683" spans="1:10" x14ac:dyDescent="0.2">
      <c r="A683" s="4" t="s">
        <v>864</v>
      </c>
      <c r="B683" s="4" t="s">
        <v>744</v>
      </c>
      <c r="C683" s="17" t="str">
        <f t="shared" si="20"/>
        <v>NO</v>
      </c>
      <c r="D683" s="12">
        <v>0</v>
      </c>
      <c r="J683" s="10">
        <f t="shared" si="21"/>
        <v>0</v>
      </c>
    </row>
    <row r="684" spans="1:10" x14ac:dyDescent="0.2">
      <c r="A684" s="4" t="s">
        <v>865</v>
      </c>
      <c r="B684" s="4" t="s">
        <v>744</v>
      </c>
      <c r="C684" s="17" t="str">
        <f t="shared" si="20"/>
        <v>NO</v>
      </c>
      <c r="D684" s="12">
        <v>0</v>
      </c>
      <c r="J684" s="10">
        <f t="shared" si="21"/>
        <v>0</v>
      </c>
    </row>
    <row r="685" spans="1:10" x14ac:dyDescent="0.2">
      <c r="A685" s="4" t="s">
        <v>866</v>
      </c>
      <c r="B685" s="4" t="s">
        <v>744</v>
      </c>
      <c r="C685" s="17" t="str">
        <f t="shared" si="20"/>
        <v>NO</v>
      </c>
      <c r="D685" s="12">
        <v>0</v>
      </c>
      <c r="J685" s="10">
        <f t="shared" si="21"/>
        <v>0</v>
      </c>
    </row>
    <row r="686" spans="1:10" x14ac:dyDescent="0.2">
      <c r="A686" s="4" t="s">
        <v>867</v>
      </c>
      <c r="B686" s="4" t="s">
        <v>744</v>
      </c>
      <c r="C686" s="17" t="str">
        <f t="shared" si="20"/>
        <v>NO</v>
      </c>
      <c r="D686" s="12">
        <v>0</v>
      </c>
      <c r="J686" s="10">
        <f t="shared" si="21"/>
        <v>0</v>
      </c>
    </row>
    <row r="687" spans="1:10" x14ac:dyDescent="0.2">
      <c r="A687" s="4" t="s">
        <v>868</v>
      </c>
      <c r="B687" s="4" t="s">
        <v>744</v>
      </c>
      <c r="C687" s="17" t="str">
        <f t="shared" si="20"/>
        <v>NO</v>
      </c>
      <c r="D687" s="12">
        <v>0</v>
      </c>
      <c r="J687" s="10">
        <f t="shared" si="21"/>
        <v>0</v>
      </c>
    </row>
    <row r="688" spans="1:10" x14ac:dyDescent="0.2">
      <c r="A688" s="4" t="s">
        <v>869</v>
      </c>
      <c r="B688" s="4" t="s">
        <v>744</v>
      </c>
      <c r="C688" s="17" t="str">
        <f t="shared" si="20"/>
        <v>NO</v>
      </c>
      <c r="D688" s="12">
        <v>0</v>
      </c>
      <c r="J688" s="10">
        <f t="shared" si="21"/>
        <v>0</v>
      </c>
    </row>
    <row r="689" spans="1:10" x14ac:dyDescent="0.2">
      <c r="A689" s="4" t="s">
        <v>870</v>
      </c>
      <c r="B689" s="4" t="s">
        <v>744</v>
      </c>
      <c r="C689" s="17" t="str">
        <f t="shared" si="20"/>
        <v>NO</v>
      </c>
      <c r="D689" s="12">
        <v>0</v>
      </c>
      <c r="J689" s="10">
        <f t="shared" si="21"/>
        <v>0</v>
      </c>
    </row>
    <row r="690" spans="1:10" x14ac:dyDescent="0.2">
      <c r="A690" s="4" t="s">
        <v>871</v>
      </c>
      <c r="B690" s="4" t="s">
        <v>744</v>
      </c>
      <c r="C690" s="17" t="str">
        <f t="shared" si="20"/>
        <v>NO</v>
      </c>
      <c r="D690" s="12">
        <v>0</v>
      </c>
      <c r="J690" s="10">
        <f t="shared" si="21"/>
        <v>0</v>
      </c>
    </row>
    <row r="691" spans="1:10" x14ac:dyDescent="0.2">
      <c r="A691" s="4" t="s">
        <v>872</v>
      </c>
      <c r="B691" s="4" t="s">
        <v>744</v>
      </c>
      <c r="C691" s="17" t="str">
        <f t="shared" si="20"/>
        <v>NO</v>
      </c>
      <c r="D691" s="12">
        <v>0</v>
      </c>
      <c r="J691" s="10">
        <f t="shared" si="21"/>
        <v>0</v>
      </c>
    </row>
    <row r="692" spans="1:10" x14ac:dyDescent="0.2">
      <c r="A692" s="4" t="s">
        <v>873</v>
      </c>
      <c r="B692" s="4" t="s">
        <v>744</v>
      </c>
      <c r="C692" s="17" t="str">
        <f t="shared" si="20"/>
        <v>NO</v>
      </c>
      <c r="D692" s="12">
        <v>0</v>
      </c>
      <c r="J692" s="10">
        <f t="shared" si="21"/>
        <v>0</v>
      </c>
    </row>
    <row r="693" spans="1:10" x14ac:dyDescent="0.2">
      <c r="A693" s="4" t="s">
        <v>874</v>
      </c>
      <c r="B693" s="4" t="s">
        <v>744</v>
      </c>
      <c r="C693" s="17" t="str">
        <f t="shared" si="20"/>
        <v>NO</v>
      </c>
      <c r="D693" s="12">
        <v>0</v>
      </c>
      <c r="J693" s="10">
        <f t="shared" si="21"/>
        <v>0</v>
      </c>
    </row>
    <row r="694" spans="1:10" x14ac:dyDescent="0.2">
      <c r="A694" s="4" t="s">
        <v>875</v>
      </c>
      <c r="B694" s="4" t="s">
        <v>745</v>
      </c>
      <c r="C694" s="17" t="str">
        <f t="shared" si="20"/>
        <v>NO</v>
      </c>
      <c r="D694" s="12">
        <v>0</v>
      </c>
      <c r="J694" s="10">
        <f t="shared" si="21"/>
        <v>0</v>
      </c>
    </row>
    <row r="695" spans="1:10" x14ac:dyDescent="0.2">
      <c r="A695" s="4" t="s">
        <v>876</v>
      </c>
      <c r="B695" s="4" t="s">
        <v>745</v>
      </c>
      <c r="C695" s="17" t="str">
        <f t="shared" si="20"/>
        <v>NO</v>
      </c>
      <c r="D695" s="12">
        <v>0</v>
      </c>
      <c r="J695" s="10">
        <f t="shared" si="21"/>
        <v>0</v>
      </c>
    </row>
    <row r="696" spans="1:10" x14ac:dyDescent="0.2">
      <c r="A696" s="4" t="s">
        <v>877</v>
      </c>
      <c r="B696" s="4" t="s">
        <v>745</v>
      </c>
      <c r="C696" s="17" t="str">
        <f t="shared" si="20"/>
        <v>NO</v>
      </c>
      <c r="D696" s="12">
        <v>0</v>
      </c>
      <c r="J696" s="10">
        <f t="shared" si="21"/>
        <v>0</v>
      </c>
    </row>
    <row r="697" spans="1:10" x14ac:dyDescent="0.2">
      <c r="A697" s="4" t="s">
        <v>765</v>
      </c>
      <c r="B697" s="4" t="s">
        <v>746</v>
      </c>
      <c r="C697" s="17" t="str">
        <f t="shared" si="20"/>
        <v>NO</v>
      </c>
      <c r="D697" s="12">
        <v>0</v>
      </c>
      <c r="J697" s="10">
        <f t="shared" si="21"/>
        <v>0</v>
      </c>
    </row>
    <row r="698" spans="1:10" x14ac:dyDescent="0.2">
      <c r="A698" s="4" t="s">
        <v>766</v>
      </c>
      <c r="B698" s="4" t="s">
        <v>746</v>
      </c>
      <c r="C698" s="17" t="str">
        <f t="shared" si="20"/>
        <v>NO</v>
      </c>
      <c r="D698" s="12">
        <v>0</v>
      </c>
      <c r="J698" s="10">
        <f t="shared" si="21"/>
        <v>0</v>
      </c>
    </row>
    <row r="699" spans="1:10" x14ac:dyDescent="0.2">
      <c r="A699" s="4" t="s">
        <v>778</v>
      </c>
      <c r="B699" s="4" t="s">
        <v>747</v>
      </c>
      <c r="C699" s="17" t="str">
        <f t="shared" si="20"/>
        <v>NO</v>
      </c>
      <c r="D699" s="12">
        <v>0</v>
      </c>
      <c r="J699" s="10">
        <f t="shared" si="21"/>
        <v>0</v>
      </c>
    </row>
    <row r="700" spans="1:10" x14ac:dyDescent="0.2">
      <c r="A700" s="4" t="s">
        <v>779</v>
      </c>
      <c r="B700" s="4" t="s">
        <v>747</v>
      </c>
      <c r="C700" s="17" t="str">
        <f t="shared" si="20"/>
        <v>NO</v>
      </c>
      <c r="D700" s="12">
        <v>0</v>
      </c>
      <c r="J700" s="10">
        <f t="shared" si="21"/>
        <v>0</v>
      </c>
    </row>
    <row r="701" spans="1:10" x14ac:dyDescent="0.2">
      <c r="A701" s="4" t="s">
        <v>780</v>
      </c>
      <c r="B701" s="4" t="s">
        <v>747</v>
      </c>
      <c r="C701" s="17" t="str">
        <f t="shared" si="20"/>
        <v>NO</v>
      </c>
      <c r="D701" s="12">
        <v>0</v>
      </c>
      <c r="J701" s="10">
        <f t="shared" si="21"/>
        <v>0</v>
      </c>
    </row>
    <row r="702" spans="1:10" x14ac:dyDescent="0.2">
      <c r="A702" s="4" t="s">
        <v>781</v>
      </c>
      <c r="B702" s="4" t="s">
        <v>747</v>
      </c>
      <c r="C702" s="17" t="str">
        <f t="shared" si="20"/>
        <v>NO</v>
      </c>
      <c r="D702" s="12">
        <v>0</v>
      </c>
      <c r="J702" s="10">
        <f t="shared" si="21"/>
        <v>0</v>
      </c>
    </row>
    <row r="703" spans="1:10" x14ac:dyDescent="0.2">
      <c r="A703" s="4" t="s">
        <v>525</v>
      </c>
      <c r="B703" s="4" t="s">
        <v>748</v>
      </c>
      <c r="C703" s="17" t="str">
        <f t="shared" si="20"/>
        <v>NO</v>
      </c>
      <c r="D703" s="12">
        <v>0</v>
      </c>
      <c r="J703" s="10">
        <f t="shared" si="21"/>
        <v>0</v>
      </c>
    </row>
    <row r="704" spans="1:10" x14ac:dyDescent="0.2">
      <c r="A704" s="4" t="s">
        <v>878</v>
      </c>
      <c r="B704" s="4" t="s">
        <v>749</v>
      </c>
      <c r="C704" s="17" t="str">
        <f t="shared" si="20"/>
        <v>NO</v>
      </c>
      <c r="D704" s="12">
        <v>0</v>
      </c>
      <c r="J704" s="10">
        <f t="shared" si="21"/>
        <v>0</v>
      </c>
    </row>
    <row r="705" spans="1:10" x14ac:dyDescent="0.2">
      <c r="A705" s="4" t="s">
        <v>879</v>
      </c>
      <c r="B705" s="4" t="s">
        <v>749</v>
      </c>
      <c r="C705" s="17" t="str">
        <f t="shared" si="20"/>
        <v>NO</v>
      </c>
      <c r="D705" s="12">
        <v>0</v>
      </c>
      <c r="J705" s="10">
        <f t="shared" si="21"/>
        <v>0</v>
      </c>
    </row>
    <row r="706" spans="1:10" x14ac:dyDescent="0.2">
      <c r="A706" s="4" t="s">
        <v>880</v>
      </c>
      <c r="B706" s="4" t="s">
        <v>749</v>
      </c>
      <c r="C706" s="17" t="str">
        <f t="shared" ref="C706:C769" si="22">VLOOKUP(B706, quota_order_numbers2, 6, FALSE)</f>
        <v>NO</v>
      </c>
      <c r="D706" s="12">
        <v>0</v>
      </c>
      <c r="J706" s="10">
        <f t="shared" ref="J706:J769" si="23">VLOOKUP(B706, quota_order_numbers2, 2, FALSE)</f>
        <v>0</v>
      </c>
    </row>
    <row r="707" spans="1:10" x14ac:dyDescent="0.2">
      <c r="A707" s="4" t="s">
        <v>881</v>
      </c>
      <c r="B707" s="4" t="s">
        <v>750</v>
      </c>
      <c r="C707" s="17" t="str">
        <f t="shared" si="22"/>
        <v>NO</v>
      </c>
      <c r="D707" s="12">
        <v>0</v>
      </c>
      <c r="J707" s="10">
        <f t="shared" si="23"/>
        <v>0</v>
      </c>
    </row>
    <row r="708" spans="1:10" x14ac:dyDescent="0.2">
      <c r="A708" s="4" t="s">
        <v>882</v>
      </c>
      <c r="B708" s="4" t="s">
        <v>751</v>
      </c>
      <c r="C708" s="17" t="str">
        <f t="shared" si="22"/>
        <v>NO</v>
      </c>
      <c r="D708" s="12">
        <v>0</v>
      </c>
      <c r="J708" s="10">
        <f t="shared" si="23"/>
        <v>0</v>
      </c>
    </row>
    <row r="709" spans="1:10" x14ac:dyDescent="0.2">
      <c r="A709" s="4" t="s">
        <v>892</v>
      </c>
      <c r="B709" s="4" t="s">
        <v>883</v>
      </c>
      <c r="C709" s="17" t="str">
        <f t="shared" si="22"/>
        <v>IS</v>
      </c>
      <c r="D709" s="12">
        <v>0</v>
      </c>
      <c r="J709" s="10">
        <f t="shared" si="23"/>
        <v>0</v>
      </c>
    </row>
    <row r="710" spans="1:10" x14ac:dyDescent="0.2">
      <c r="A710" s="4" t="s">
        <v>893</v>
      </c>
      <c r="B710" s="4" t="s">
        <v>883</v>
      </c>
      <c r="C710" s="17" t="str">
        <f t="shared" si="22"/>
        <v>IS</v>
      </c>
      <c r="D710" s="12">
        <v>0</v>
      </c>
      <c r="J710" s="10">
        <f t="shared" si="23"/>
        <v>0</v>
      </c>
    </row>
    <row r="711" spans="1:10" x14ac:dyDescent="0.2">
      <c r="A711" s="4" t="s">
        <v>894</v>
      </c>
      <c r="B711" s="4" t="s">
        <v>883</v>
      </c>
      <c r="C711" s="17" t="str">
        <f t="shared" si="22"/>
        <v>IS</v>
      </c>
      <c r="D711" s="12">
        <v>0</v>
      </c>
      <c r="J711" s="10">
        <f t="shared" si="23"/>
        <v>0</v>
      </c>
    </row>
    <row r="712" spans="1:10" x14ac:dyDescent="0.2">
      <c r="A712" s="4" t="s">
        <v>895</v>
      </c>
      <c r="B712" s="4" t="s">
        <v>883</v>
      </c>
      <c r="C712" s="17" t="str">
        <f t="shared" si="22"/>
        <v>IS</v>
      </c>
      <c r="D712" s="12">
        <v>0</v>
      </c>
      <c r="J712" s="10">
        <f t="shared" si="23"/>
        <v>0</v>
      </c>
    </row>
    <row r="713" spans="1:10" x14ac:dyDescent="0.2">
      <c r="A713" s="4" t="s">
        <v>896</v>
      </c>
      <c r="B713" s="4" t="s">
        <v>883</v>
      </c>
      <c r="C713" s="17" t="str">
        <f t="shared" si="22"/>
        <v>IS</v>
      </c>
      <c r="D713" s="12">
        <v>0</v>
      </c>
      <c r="J713" s="10">
        <f t="shared" si="23"/>
        <v>0</v>
      </c>
    </row>
    <row r="714" spans="1:10" x14ac:dyDescent="0.2">
      <c r="A714" s="4" t="s">
        <v>897</v>
      </c>
      <c r="B714" s="4" t="s">
        <v>883</v>
      </c>
      <c r="C714" s="17" t="str">
        <f t="shared" si="22"/>
        <v>IS</v>
      </c>
      <c r="D714" s="12">
        <v>0</v>
      </c>
      <c r="J714" s="10">
        <f t="shared" si="23"/>
        <v>0</v>
      </c>
    </row>
    <row r="715" spans="1:10" x14ac:dyDescent="0.2">
      <c r="A715" s="4" t="s">
        <v>898</v>
      </c>
      <c r="B715" s="4" t="s">
        <v>884</v>
      </c>
      <c r="C715" s="17" t="str">
        <f t="shared" si="22"/>
        <v>IS</v>
      </c>
      <c r="D715" s="12">
        <v>0</v>
      </c>
      <c r="J715" s="10">
        <f t="shared" si="23"/>
        <v>0</v>
      </c>
    </row>
    <row r="716" spans="1:10" x14ac:dyDescent="0.2">
      <c r="A716" s="4" t="s">
        <v>899</v>
      </c>
      <c r="B716" s="4" t="s">
        <v>884</v>
      </c>
      <c r="C716" s="17" t="str">
        <f t="shared" si="22"/>
        <v>IS</v>
      </c>
      <c r="D716" s="12">
        <v>0</v>
      </c>
      <c r="J716" s="10">
        <f t="shared" si="23"/>
        <v>0</v>
      </c>
    </row>
    <row r="717" spans="1:10" x14ac:dyDescent="0.2">
      <c r="A717" s="4" t="s">
        <v>900</v>
      </c>
      <c r="B717" s="4" t="s">
        <v>884</v>
      </c>
      <c r="C717" s="17" t="str">
        <f t="shared" si="22"/>
        <v>IS</v>
      </c>
      <c r="D717" s="12">
        <v>0</v>
      </c>
      <c r="J717" s="10">
        <f t="shared" si="23"/>
        <v>0</v>
      </c>
    </row>
    <row r="718" spans="1:10" x14ac:dyDescent="0.2">
      <c r="A718" s="4" t="s">
        <v>901</v>
      </c>
      <c r="B718" s="4" t="s">
        <v>884</v>
      </c>
      <c r="C718" s="17" t="str">
        <f t="shared" si="22"/>
        <v>IS</v>
      </c>
      <c r="D718" s="12">
        <v>0</v>
      </c>
      <c r="J718" s="10">
        <f t="shared" si="23"/>
        <v>0</v>
      </c>
    </row>
    <row r="719" spans="1:10" x14ac:dyDescent="0.2">
      <c r="A719" s="4" t="s">
        <v>902</v>
      </c>
      <c r="B719" s="4" t="s">
        <v>884</v>
      </c>
      <c r="C719" s="17" t="str">
        <f t="shared" si="22"/>
        <v>IS</v>
      </c>
      <c r="D719" s="12">
        <v>0</v>
      </c>
      <c r="J719" s="10">
        <f t="shared" si="23"/>
        <v>0</v>
      </c>
    </row>
    <row r="720" spans="1:10" x14ac:dyDescent="0.2">
      <c r="A720" s="4" t="s">
        <v>903</v>
      </c>
      <c r="B720" s="4" t="s">
        <v>884</v>
      </c>
      <c r="C720" s="17" t="str">
        <f t="shared" si="22"/>
        <v>IS</v>
      </c>
      <c r="D720" s="12">
        <v>0</v>
      </c>
      <c r="J720" s="10">
        <f t="shared" si="23"/>
        <v>0</v>
      </c>
    </row>
    <row r="721" spans="1:10" x14ac:dyDescent="0.2">
      <c r="A721" s="4" t="s">
        <v>904</v>
      </c>
      <c r="B721" s="4" t="s">
        <v>884</v>
      </c>
      <c r="C721" s="17" t="str">
        <f t="shared" si="22"/>
        <v>IS</v>
      </c>
      <c r="D721" s="12">
        <v>0</v>
      </c>
      <c r="J721" s="10">
        <f t="shared" si="23"/>
        <v>0</v>
      </c>
    </row>
    <row r="722" spans="1:10" x14ac:dyDescent="0.2">
      <c r="A722" s="4" t="s">
        <v>769</v>
      </c>
      <c r="B722" s="4" t="s">
        <v>884</v>
      </c>
      <c r="C722" s="17" t="str">
        <f t="shared" si="22"/>
        <v>IS</v>
      </c>
      <c r="D722" s="12">
        <v>0</v>
      </c>
      <c r="J722" s="10">
        <f t="shared" si="23"/>
        <v>0</v>
      </c>
    </row>
    <row r="723" spans="1:10" x14ac:dyDescent="0.2">
      <c r="A723" s="4" t="s">
        <v>770</v>
      </c>
      <c r="B723" s="4" t="s">
        <v>884</v>
      </c>
      <c r="C723" s="17" t="str">
        <f t="shared" si="22"/>
        <v>IS</v>
      </c>
      <c r="D723" s="12">
        <v>0</v>
      </c>
      <c r="J723" s="10">
        <f t="shared" si="23"/>
        <v>0</v>
      </c>
    </row>
    <row r="724" spans="1:10" x14ac:dyDescent="0.2">
      <c r="A724" s="4" t="s">
        <v>771</v>
      </c>
      <c r="B724" s="4" t="s">
        <v>884</v>
      </c>
      <c r="C724" s="17" t="str">
        <f t="shared" si="22"/>
        <v>IS</v>
      </c>
      <c r="D724" s="12">
        <v>0</v>
      </c>
      <c r="J724" s="10">
        <f t="shared" si="23"/>
        <v>0</v>
      </c>
    </row>
    <row r="725" spans="1:10" x14ac:dyDescent="0.2">
      <c r="A725" s="4" t="s">
        <v>772</v>
      </c>
      <c r="B725" s="4" t="s">
        <v>884</v>
      </c>
      <c r="C725" s="17" t="str">
        <f t="shared" si="22"/>
        <v>IS</v>
      </c>
      <c r="D725" s="12">
        <v>0</v>
      </c>
      <c r="J725" s="10">
        <f t="shared" si="23"/>
        <v>0</v>
      </c>
    </row>
    <row r="726" spans="1:10" x14ac:dyDescent="0.2">
      <c r="A726" s="4" t="s">
        <v>773</v>
      </c>
      <c r="B726" s="4" t="s">
        <v>884</v>
      </c>
      <c r="C726" s="17" t="str">
        <f t="shared" si="22"/>
        <v>IS</v>
      </c>
      <c r="D726" s="12">
        <v>0</v>
      </c>
      <c r="J726" s="10">
        <f t="shared" si="23"/>
        <v>0</v>
      </c>
    </row>
    <row r="727" spans="1:10" x14ac:dyDescent="0.2">
      <c r="A727" s="4" t="s">
        <v>774</v>
      </c>
      <c r="B727" s="4" t="s">
        <v>884</v>
      </c>
      <c r="C727" s="17" t="str">
        <f t="shared" si="22"/>
        <v>IS</v>
      </c>
      <c r="D727" s="12">
        <v>0</v>
      </c>
      <c r="J727" s="10">
        <f t="shared" si="23"/>
        <v>0</v>
      </c>
    </row>
    <row r="728" spans="1:10" x14ac:dyDescent="0.2">
      <c r="A728" s="4" t="s">
        <v>905</v>
      </c>
      <c r="B728" s="4" t="s">
        <v>884</v>
      </c>
      <c r="C728" s="17" t="str">
        <f t="shared" si="22"/>
        <v>IS</v>
      </c>
      <c r="D728" s="12">
        <v>0</v>
      </c>
      <c r="J728" s="10">
        <f t="shared" si="23"/>
        <v>0</v>
      </c>
    </row>
    <row r="729" spans="1:10" x14ac:dyDescent="0.2">
      <c r="A729" s="4" t="s">
        <v>906</v>
      </c>
      <c r="B729" s="4" t="s">
        <v>884</v>
      </c>
      <c r="C729" s="17" t="str">
        <f t="shared" si="22"/>
        <v>IS</v>
      </c>
      <c r="D729" s="12">
        <v>0</v>
      </c>
      <c r="J729" s="10">
        <f t="shared" si="23"/>
        <v>0</v>
      </c>
    </row>
    <row r="730" spans="1:10" x14ac:dyDescent="0.2">
      <c r="A730" s="4" t="s">
        <v>775</v>
      </c>
      <c r="B730" s="4" t="s">
        <v>884</v>
      </c>
      <c r="C730" s="17" t="str">
        <f t="shared" si="22"/>
        <v>IS</v>
      </c>
      <c r="D730" s="12">
        <v>0</v>
      </c>
      <c r="J730" s="10">
        <f t="shared" si="23"/>
        <v>0</v>
      </c>
    </row>
    <row r="731" spans="1:10" x14ac:dyDescent="0.2">
      <c r="A731" s="4" t="s">
        <v>776</v>
      </c>
      <c r="B731" s="4" t="s">
        <v>884</v>
      </c>
      <c r="C731" s="17" t="str">
        <f t="shared" si="22"/>
        <v>IS</v>
      </c>
      <c r="D731" s="12">
        <v>0</v>
      </c>
      <c r="J731" s="10">
        <f t="shared" si="23"/>
        <v>0</v>
      </c>
    </row>
    <row r="732" spans="1:10" x14ac:dyDescent="0.2">
      <c r="A732" s="4" t="s">
        <v>907</v>
      </c>
      <c r="B732" s="4" t="s">
        <v>884</v>
      </c>
      <c r="C732" s="17" t="str">
        <f t="shared" si="22"/>
        <v>IS</v>
      </c>
      <c r="D732" s="12">
        <v>0</v>
      </c>
      <c r="J732" s="10">
        <f t="shared" si="23"/>
        <v>0</v>
      </c>
    </row>
    <row r="733" spans="1:10" x14ac:dyDescent="0.2">
      <c r="A733" s="4" t="s">
        <v>908</v>
      </c>
      <c r="B733" s="4" t="s">
        <v>884</v>
      </c>
      <c r="C733" s="17" t="str">
        <f t="shared" si="22"/>
        <v>IS</v>
      </c>
      <c r="D733" s="12">
        <v>0</v>
      </c>
      <c r="J733" s="10">
        <f t="shared" si="23"/>
        <v>0</v>
      </c>
    </row>
    <row r="734" spans="1:10" x14ac:dyDescent="0.2">
      <c r="A734" s="4" t="s">
        <v>909</v>
      </c>
      <c r="B734" s="4" t="s">
        <v>884</v>
      </c>
      <c r="C734" s="17" t="str">
        <f t="shared" si="22"/>
        <v>IS</v>
      </c>
      <c r="D734" s="12">
        <v>0</v>
      </c>
      <c r="J734" s="10">
        <f t="shared" si="23"/>
        <v>0</v>
      </c>
    </row>
    <row r="735" spans="1:10" x14ac:dyDescent="0.2">
      <c r="A735" s="4" t="s">
        <v>910</v>
      </c>
      <c r="B735" s="4" t="s">
        <v>884</v>
      </c>
      <c r="C735" s="17" t="str">
        <f t="shared" si="22"/>
        <v>IS</v>
      </c>
      <c r="D735" s="12">
        <v>0</v>
      </c>
      <c r="J735" s="10">
        <f t="shared" si="23"/>
        <v>0</v>
      </c>
    </row>
    <row r="736" spans="1:10" x14ac:dyDescent="0.2">
      <c r="A736" s="4" t="s">
        <v>911</v>
      </c>
      <c r="B736" s="4" t="s">
        <v>884</v>
      </c>
      <c r="C736" s="17" t="str">
        <f t="shared" si="22"/>
        <v>IS</v>
      </c>
      <c r="D736" s="12">
        <v>0</v>
      </c>
      <c r="J736" s="10">
        <f t="shared" si="23"/>
        <v>0</v>
      </c>
    </row>
    <row r="737" spans="1:10" x14ac:dyDescent="0.2">
      <c r="A737" s="4" t="s">
        <v>912</v>
      </c>
      <c r="B737" s="4" t="s">
        <v>884</v>
      </c>
      <c r="C737" s="17" t="str">
        <f t="shared" si="22"/>
        <v>IS</v>
      </c>
      <c r="D737" s="12">
        <v>0</v>
      </c>
      <c r="J737" s="10">
        <f t="shared" si="23"/>
        <v>0</v>
      </c>
    </row>
    <row r="738" spans="1:10" x14ac:dyDescent="0.2">
      <c r="A738" s="4" t="s">
        <v>913</v>
      </c>
      <c r="B738" s="4" t="s">
        <v>884</v>
      </c>
      <c r="C738" s="17" t="str">
        <f t="shared" si="22"/>
        <v>IS</v>
      </c>
      <c r="D738" s="12">
        <v>0</v>
      </c>
      <c r="J738" s="10">
        <f t="shared" si="23"/>
        <v>0</v>
      </c>
    </row>
    <row r="739" spans="1:10" x14ac:dyDescent="0.2">
      <c r="A739" s="4" t="s">
        <v>914</v>
      </c>
      <c r="B739" s="4" t="s">
        <v>884</v>
      </c>
      <c r="C739" s="17" t="str">
        <f t="shared" si="22"/>
        <v>IS</v>
      </c>
      <c r="D739" s="12">
        <v>0</v>
      </c>
      <c r="J739" s="10">
        <f t="shared" si="23"/>
        <v>0</v>
      </c>
    </row>
    <row r="740" spans="1:10" x14ac:dyDescent="0.2">
      <c r="A740" s="4" t="s">
        <v>915</v>
      </c>
      <c r="B740" s="4" t="s">
        <v>884</v>
      </c>
      <c r="C740" s="17" t="str">
        <f t="shared" si="22"/>
        <v>IS</v>
      </c>
      <c r="D740" s="12">
        <v>0</v>
      </c>
      <c r="J740" s="10">
        <f t="shared" si="23"/>
        <v>0</v>
      </c>
    </row>
    <row r="741" spans="1:10" x14ac:dyDescent="0.2">
      <c r="A741" s="4" t="s">
        <v>916</v>
      </c>
      <c r="B741" s="4" t="s">
        <v>884</v>
      </c>
      <c r="C741" s="17" t="str">
        <f t="shared" si="22"/>
        <v>IS</v>
      </c>
      <c r="D741" s="12">
        <v>0</v>
      </c>
      <c r="J741" s="10">
        <f t="shared" si="23"/>
        <v>0</v>
      </c>
    </row>
    <row r="742" spans="1:10" x14ac:dyDescent="0.2">
      <c r="A742" s="4" t="s">
        <v>917</v>
      </c>
      <c r="B742" s="4" t="s">
        <v>884</v>
      </c>
      <c r="C742" s="17" t="str">
        <f t="shared" si="22"/>
        <v>IS</v>
      </c>
      <c r="D742" s="12">
        <v>0</v>
      </c>
      <c r="J742" s="10">
        <f t="shared" si="23"/>
        <v>0</v>
      </c>
    </row>
    <row r="743" spans="1:10" x14ac:dyDescent="0.2">
      <c r="A743" s="4" t="s">
        <v>918</v>
      </c>
      <c r="B743" s="4" t="s">
        <v>884</v>
      </c>
      <c r="C743" s="17" t="str">
        <f t="shared" si="22"/>
        <v>IS</v>
      </c>
      <c r="D743" s="12">
        <v>0</v>
      </c>
      <c r="J743" s="10">
        <f t="shared" si="23"/>
        <v>0</v>
      </c>
    </row>
    <row r="744" spans="1:10" x14ac:dyDescent="0.2">
      <c r="A744" s="4" t="s">
        <v>919</v>
      </c>
      <c r="B744" s="4" t="s">
        <v>884</v>
      </c>
      <c r="C744" s="17" t="str">
        <f t="shared" si="22"/>
        <v>IS</v>
      </c>
      <c r="D744" s="12">
        <v>0</v>
      </c>
      <c r="J744" s="10">
        <f t="shared" si="23"/>
        <v>0</v>
      </c>
    </row>
    <row r="745" spans="1:10" x14ac:dyDescent="0.2">
      <c r="A745" s="4" t="s">
        <v>920</v>
      </c>
      <c r="B745" s="4" t="s">
        <v>884</v>
      </c>
      <c r="C745" s="17" t="str">
        <f t="shared" si="22"/>
        <v>IS</v>
      </c>
      <c r="D745" s="12">
        <v>0</v>
      </c>
      <c r="J745" s="10">
        <f t="shared" si="23"/>
        <v>0</v>
      </c>
    </row>
    <row r="746" spans="1:10" x14ac:dyDescent="0.2">
      <c r="A746" s="4" t="s">
        <v>921</v>
      </c>
      <c r="B746" s="4" t="s">
        <v>884</v>
      </c>
      <c r="C746" s="17" t="str">
        <f t="shared" si="22"/>
        <v>IS</v>
      </c>
      <c r="D746" s="12">
        <v>0</v>
      </c>
      <c r="J746" s="10">
        <f t="shared" si="23"/>
        <v>0</v>
      </c>
    </row>
    <row r="747" spans="1:10" x14ac:dyDescent="0.2">
      <c r="A747" s="4" t="s">
        <v>922</v>
      </c>
      <c r="B747" s="4" t="s">
        <v>884</v>
      </c>
      <c r="C747" s="17" t="str">
        <f t="shared" si="22"/>
        <v>IS</v>
      </c>
      <c r="D747" s="12">
        <v>0</v>
      </c>
      <c r="J747" s="10">
        <f t="shared" si="23"/>
        <v>0</v>
      </c>
    </row>
    <row r="748" spans="1:10" x14ac:dyDescent="0.2">
      <c r="A748" s="4" t="s">
        <v>923</v>
      </c>
      <c r="B748" s="4" t="s">
        <v>884</v>
      </c>
      <c r="C748" s="17" t="str">
        <f t="shared" si="22"/>
        <v>IS</v>
      </c>
      <c r="D748" s="12">
        <v>0</v>
      </c>
      <c r="J748" s="10">
        <f t="shared" si="23"/>
        <v>0</v>
      </c>
    </row>
    <row r="749" spans="1:10" x14ac:dyDescent="0.2">
      <c r="A749" s="4" t="s">
        <v>924</v>
      </c>
      <c r="B749" s="4" t="s">
        <v>884</v>
      </c>
      <c r="C749" s="17" t="str">
        <f t="shared" si="22"/>
        <v>IS</v>
      </c>
      <c r="D749" s="12">
        <v>0</v>
      </c>
      <c r="J749" s="10">
        <f t="shared" si="23"/>
        <v>0</v>
      </c>
    </row>
    <row r="750" spans="1:10" x14ac:dyDescent="0.2">
      <c r="A750" s="4" t="s">
        <v>925</v>
      </c>
      <c r="B750" s="4" t="s">
        <v>884</v>
      </c>
      <c r="C750" s="17" t="str">
        <f t="shared" si="22"/>
        <v>IS</v>
      </c>
      <c r="D750" s="12">
        <v>0</v>
      </c>
      <c r="J750" s="10">
        <f t="shared" si="23"/>
        <v>0</v>
      </c>
    </row>
    <row r="751" spans="1:10" x14ac:dyDescent="0.2">
      <c r="A751" s="4" t="s">
        <v>926</v>
      </c>
      <c r="B751" s="4" t="s">
        <v>884</v>
      </c>
      <c r="C751" s="17" t="str">
        <f t="shared" si="22"/>
        <v>IS</v>
      </c>
      <c r="D751" s="12">
        <v>0</v>
      </c>
      <c r="J751" s="10">
        <f t="shared" si="23"/>
        <v>0</v>
      </c>
    </row>
    <row r="752" spans="1:10" x14ac:dyDescent="0.2">
      <c r="A752" s="4" t="s">
        <v>927</v>
      </c>
      <c r="B752" s="4" t="s">
        <v>884</v>
      </c>
      <c r="C752" s="17" t="str">
        <f t="shared" si="22"/>
        <v>IS</v>
      </c>
      <c r="D752" s="12">
        <v>0</v>
      </c>
      <c r="J752" s="10">
        <f t="shared" si="23"/>
        <v>0</v>
      </c>
    </row>
    <row r="753" spans="1:10" x14ac:dyDescent="0.2">
      <c r="A753" s="4" t="s">
        <v>928</v>
      </c>
      <c r="B753" s="4" t="s">
        <v>884</v>
      </c>
      <c r="C753" s="17" t="str">
        <f t="shared" si="22"/>
        <v>IS</v>
      </c>
      <c r="D753" s="12">
        <v>0</v>
      </c>
      <c r="J753" s="10">
        <f t="shared" si="23"/>
        <v>0</v>
      </c>
    </row>
    <row r="754" spans="1:10" x14ac:dyDescent="0.2">
      <c r="A754" s="4" t="s">
        <v>929</v>
      </c>
      <c r="B754" s="4" t="s">
        <v>884</v>
      </c>
      <c r="C754" s="17" t="str">
        <f t="shared" si="22"/>
        <v>IS</v>
      </c>
      <c r="D754" s="12">
        <v>0</v>
      </c>
      <c r="J754" s="10">
        <f t="shared" si="23"/>
        <v>0</v>
      </c>
    </row>
    <row r="755" spans="1:10" x14ac:dyDescent="0.2">
      <c r="A755" s="4" t="s">
        <v>930</v>
      </c>
      <c r="B755" s="4" t="s">
        <v>884</v>
      </c>
      <c r="C755" s="17" t="str">
        <f t="shared" si="22"/>
        <v>IS</v>
      </c>
      <c r="D755" s="12">
        <v>0</v>
      </c>
      <c r="J755" s="10">
        <f t="shared" si="23"/>
        <v>0</v>
      </c>
    </row>
    <row r="756" spans="1:10" x14ac:dyDescent="0.2">
      <c r="A756" s="4" t="s">
        <v>931</v>
      </c>
      <c r="B756" s="4" t="s">
        <v>884</v>
      </c>
      <c r="C756" s="17" t="str">
        <f t="shared" si="22"/>
        <v>IS</v>
      </c>
      <c r="D756" s="12">
        <v>0</v>
      </c>
      <c r="J756" s="10">
        <f t="shared" si="23"/>
        <v>0</v>
      </c>
    </row>
    <row r="757" spans="1:10" x14ac:dyDescent="0.2">
      <c r="A757" s="4" t="s">
        <v>932</v>
      </c>
      <c r="B757" s="4" t="s">
        <v>884</v>
      </c>
      <c r="C757" s="17" t="str">
        <f t="shared" si="22"/>
        <v>IS</v>
      </c>
      <c r="D757" s="12">
        <v>0</v>
      </c>
      <c r="J757" s="10">
        <f t="shared" si="23"/>
        <v>0</v>
      </c>
    </row>
    <row r="758" spans="1:10" x14ac:dyDescent="0.2">
      <c r="A758" s="4" t="s">
        <v>933</v>
      </c>
      <c r="B758" s="4" t="s">
        <v>884</v>
      </c>
      <c r="C758" s="17" t="str">
        <f t="shared" si="22"/>
        <v>IS</v>
      </c>
      <c r="D758" s="12">
        <v>0</v>
      </c>
      <c r="J758" s="10">
        <f t="shared" si="23"/>
        <v>0</v>
      </c>
    </row>
    <row r="759" spans="1:10" x14ac:dyDescent="0.2">
      <c r="A759" s="4" t="s">
        <v>934</v>
      </c>
      <c r="B759" s="4" t="s">
        <v>884</v>
      </c>
      <c r="C759" s="17" t="str">
        <f t="shared" si="22"/>
        <v>IS</v>
      </c>
      <c r="D759" s="12">
        <v>0</v>
      </c>
      <c r="J759" s="10">
        <f t="shared" si="23"/>
        <v>0</v>
      </c>
    </row>
    <row r="760" spans="1:10" x14ac:dyDescent="0.2">
      <c r="A760" s="4" t="s">
        <v>935</v>
      </c>
      <c r="B760" s="4" t="s">
        <v>884</v>
      </c>
      <c r="C760" s="17" t="str">
        <f t="shared" si="22"/>
        <v>IS</v>
      </c>
      <c r="D760" s="12">
        <v>0</v>
      </c>
      <c r="J760" s="10">
        <f t="shared" si="23"/>
        <v>0</v>
      </c>
    </row>
    <row r="761" spans="1:10" x14ac:dyDescent="0.2">
      <c r="A761" s="4" t="s">
        <v>936</v>
      </c>
      <c r="B761" s="4" t="s">
        <v>884</v>
      </c>
      <c r="C761" s="17" t="str">
        <f t="shared" si="22"/>
        <v>IS</v>
      </c>
      <c r="D761" s="12">
        <v>0</v>
      </c>
      <c r="J761" s="10">
        <f t="shared" si="23"/>
        <v>0</v>
      </c>
    </row>
    <row r="762" spans="1:10" x14ac:dyDescent="0.2">
      <c r="A762" s="4" t="s">
        <v>937</v>
      </c>
      <c r="B762" s="4" t="s">
        <v>884</v>
      </c>
      <c r="C762" s="17" t="str">
        <f t="shared" si="22"/>
        <v>IS</v>
      </c>
      <c r="D762" s="12">
        <v>0</v>
      </c>
      <c r="J762" s="10">
        <f t="shared" si="23"/>
        <v>0</v>
      </c>
    </row>
    <row r="763" spans="1:10" x14ac:dyDescent="0.2">
      <c r="A763" s="4" t="s">
        <v>938</v>
      </c>
      <c r="B763" s="4" t="s">
        <v>884</v>
      </c>
      <c r="C763" s="17" t="str">
        <f t="shared" si="22"/>
        <v>IS</v>
      </c>
      <c r="D763" s="12">
        <v>0</v>
      </c>
      <c r="J763" s="10">
        <f t="shared" si="23"/>
        <v>0</v>
      </c>
    </row>
    <row r="764" spans="1:10" x14ac:dyDescent="0.2">
      <c r="A764" s="4" t="s">
        <v>784</v>
      </c>
      <c r="B764" s="4" t="s">
        <v>884</v>
      </c>
      <c r="C764" s="17" t="str">
        <f t="shared" si="22"/>
        <v>IS</v>
      </c>
      <c r="D764" s="12">
        <v>0</v>
      </c>
      <c r="J764" s="10">
        <f t="shared" si="23"/>
        <v>0</v>
      </c>
    </row>
    <row r="765" spans="1:10" x14ac:dyDescent="0.2">
      <c r="A765" s="4" t="s">
        <v>785</v>
      </c>
      <c r="B765" s="4" t="s">
        <v>884</v>
      </c>
      <c r="C765" s="17" t="str">
        <f t="shared" si="22"/>
        <v>IS</v>
      </c>
      <c r="D765" s="12">
        <v>0</v>
      </c>
      <c r="J765" s="10">
        <f t="shared" si="23"/>
        <v>0</v>
      </c>
    </row>
    <row r="766" spans="1:10" x14ac:dyDescent="0.2">
      <c r="A766" s="4" t="s">
        <v>786</v>
      </c>
      <c r="B766" s="4" t="s">
        <v>884</v>
      </c>
      <c r="C766" s="17" t="str">
        <f t="shared" si="22"/>
        <v>IS</v>
      </c>
      <c r="D766" s="12">
        <v>0</v>
      </c>
      <c r="J766" s="10">
        <f t="shared" si="23"/>
        <v>0</v>
      </c>
    </row>
    <row r="767" spans="1:10" x14ac:dyDescent="0.2">
      <c r="A767" s="4" t="s">
        <v>788</v>
      </c>
      <c r="B767" s="4" t="s">
        <v>884</v>
      </c>
      <c r="C767" s="17" t="str">
        <f t="shared" si="22"/>
        <v>IS</v>
      </c>
      <c r="D767" s="12">
        <v>0</v>
      </c>
      <c r="J767" s="10">
        <f t="shared" si="23"/>
        <v>0</v>
      </c>
    </row>
    <row r="768" spans="1:10" x14ac:dyDescent="0.2">
      <c r="A768" s="4" t="s">
        <v>789</v>
      </c>
      <c r="B768" s="4" t="s">
        <v>884</v>
      </c>
      <c r="C768" s="17" t="str">
        <f t="shared" si="22"/>
        <v>IS</v>
      </c>
      <c r="D768" s="12">
        <v>0</v>
      </c>
      <c r="J768" s="10">
        <f t="shared" si="23"/>
        <v>0</v>
      </c>
    </row>
    <row r="769" spans="1:10" x14ac:dyDescent="0.2">
      <c r="A769" s="4" t="s">
        <v>790</v>
      </c>
      <c r="B769" s="4" t="s">
        <v>884</v>
      </c>
      <c r="C769" s="17" t="str">
        <f t="shared" si="22"/>
        <v>IS</v>
      </c>
      <c r="D769" s="12">
        <v>0</v>
      </c>
      <c r="J769" s="10">
        <f t="shared" si="23"/>
        <v>0</v>
      </c>
    </row>
    <row r="770" spans="1:10" x14ac:dyDescent="0.2">
      <c r="A770" s="4" t="s">
        <v>939</v>
      </c>
      <c r="B770" s="4" t="s">
        <v>884</v>
      </c>
      <c r="C770" s="17" t="str">
        <f t="shared" ref="C770:C833" si="24">VLOOKUP(B770, quota_order_numbers2, 6, FALSE)</f>
        <v>IS</v>
      </c>
      <c r="D770" s="12">
        <v>0</v>
      </c>
      <c r="J770" s="10">
        <f t="shared" ref="J770:J833" si="25">VLOOKUP(B770, quota_order_numbers2, 2, FALSE)</f>
        <v>0</v>
      </c>
    </row>
    <row r="771" spans="1:10" x14ac:dyDescent="0.2">
      <c r="A771" s="4" t="s">
        <v>940</v>
      </c>
      <c r="B771" s="4" t="s">
        <v>884</v>
      </c>
      <c r="C771" s="17" t="str">
        <f t="shared" si="24"/>
        <v>IS</v>
      </c>
      <c r="D771" s="12">
        <v>0</v>
      </c>
      <c r="J771" s="10">
        <f t="shared" si="25"/>
        <v>0</v>
      </c>
    </row>
    <row r="772" spans="1:10" x14ac:dyDescent="0.2">
      <c r="A772" s="4" t="s">
        <v>941</v>
      </c>
      <c r="B772" s="4" t="s">
        <v>884</v>
      </c>
      <c r="C772" s="17" t="str">
        <f t="shared" si="24"/>
        <v>IS</v>
      </c>
      <c r="D772" s="12">
        <v>0</v>
      </c>
      <c r="J772" s="10">
        <f t="shared" si="25"/>
        <v>0</v>
      </c>
    </row>
    <row r="773" spans="1:10" x14ac:dyDescent="0.2">
      <c r="A773" s="4" t="s">
        <v>942</v>
      </c>
      <c r="B773" s="4" t="s">
        <v>884</v>
      </c>
      <c r="C773" s="17" t="str">
        <f t="shared" si="24"/>
        <v>IS</v>
      </c>
      <c r="D773" s="12">
        <v>0</v>
      </c>
      <c r="J773" s="10">
        <f t="shared" si="25"/>
        <v>0</v>
      </c>
    </row>
    <row r="774" spans="1:10" x14ac:dyDescent="0.2">
      <c r="A774" s="4" t="s">
        <v>943</v>
      </c>
      <c r="B774" s="4" t="s">
        <v>884</v>
      </c>
      <c r="C774" s="17" t="str">
        <f t="shared" si="24"/>
        <v>IS</v>
      </c>
      <c r="D774" s="12">
        <v>0</v>
      </c>
      <c r="J774" s="10">
        <f t="shared" si="25"/>
        <v>0</v>
      </c>
    </row>
    <row r="775" spans="1:10" x14ac:dyDescent="0.2">
      <c r="A775" s="4" t="s">
        <v>792</v>
      </c>
      <c r="B775" s="4" t="s">
        <v>884</v>
      </c>
      <c r="C775" s="17" t="str">
        <f t="shared" si="24"/>
        <v>IS</v>
      </c>
      <c r="D775" s="12">
        <v>0</v>
      </c>
      <c r="J775" s="10">
        <f t="shared" si="25"/>
        <v>0</v>
      </c>
    </row>
    <row r="776" spans="1:10" x14ac:dyDescent="0.2">
      <c r="A776" s="4" t="s">
        <v>793</v>
      </c>
      <c r="B776" s="4" t="s">
        <v>884</v>
      </c>
      <c r="C776" s="17" t="str">
        <f t="shared" si="24"/>
        <v>IS</v>
      </c>
      <c r="D776" s="12">
        <v>0</v>
      </c>
      <c r="J776" s="10">
        <f t="shared" si="25"/>
        <v>0</v>
      </c>
    </row>
    <row r="777" spans="1:10" x14ac:dyDescent="0.2">
      <c r="A777" s="4" t="s">
        <v>794</v>
      </c>
      <c r="B777" s="4" t="s">
        <v>884</v>
      </c>
      <c r="C777" s="17" t="str">
        <f t="shared" si="24"/>
        <v>IS</v>
      </c>
      <c r="D777" s="12">
        <v>0</v>
      </c>
      <c r="J777" s="10">
        <f t="shared" si="25"/>
        <v>0</v>
      </c>
    </row>
    <row r="778" spans="1:10" x14ac:dyDescent="0.2">
      <c r="A778" s="4" t="s">
        <v>795</v>
      </c>
      <c r="B778" s="4" t="s">
        <v>884</v>
      </c>
      <c r="C778" s="17" t="str">
        <f t="shared" si="24"/>
        <v>IS</v>
      </c>
      <c r="D778" s="12">
        <v>0</v>
      </c>
      <c r="J778" s="10">
        <f t="shared" si="25"/>
        <v>0</v>
      </c>
    </row>
    <row r="779" spans="1:10" x14ac:dyDescent="0.2">
      <c r="A779" s="4" t="s">
        <v>796</v>
      </c>
      <c r="B779" s="4" t="s">
        <v>884</v>
      </c>
      <c r="C779" s="17" t="str">
        <f t="shared" si="24"/>
        <v>IS</v>
      </c>
      <c r="D779" s="12">
        <v>0</v>
      </c>
      <c r="J779" s="10">
        <f t="shared" si="25"/>
        <v>0</v>
      </c>
    </row>
    <row r="780" spans="1:10" x14ac:dyDescent="0.2">
      <c r="A780" s="4" t="s">
        <v>797</v>
      </c>
      <c r="B780" s="4" t="s">
        <v>884</v>
      </c>
      <c r="C780" s="17" t="str">
        <f t="shared" si="24"/>
        <v>IS</v>
      </c>
      <c r="D780" s="12">
        <v>0</v>
      </c>
      <c r="J780" s="10">
        <f t="shared" si="25"/>
        <v>0</v>
      </c>
    </row>
    <row r="781" spans="1:10" x14ac:dyDescent="0.2">
      <c r="A781" s="4" t="s">
        <v>798</v>
      </c>
      <c r="B781" s="4" t="s">
        <v>884</v>
      </c>
      <c r="C781" s="17" t="str">
        <f t="shared" si="24"/>
        <v>IS</v>
      </c>
      <c r="D781" s="12">
        <v>0</v>
      </c>
      <c r="J781" s="10">
        <f t="shared" si="25"/>
        <v>0</v>
      </c>
    </row>
    <row r="782" spans="1:10" x14ac:dyDescent="0.2">
      <c r="A782" s="4" t="s">
        <v>799</v>
      </c>
      <c r="B782" s="4" t="s">
        <v>884</v>
      </c>
      <c r="C782" s="17" t="str">
        <f t="shared" si="24"/>
        <v>IS</v>
      </c>
      <c r="D782" s="12">
        <v>0</v>
      </c>
      <c r="J782" s="10">
        <f t="shared" si="25"/>
        <v>0</v>
      </c>
    </row>
    <row r="783" spans="1:10" x14ac:dyDescent="0.2">
      <c r="A783" s="4" t="s">
        <v>800</v>
      </c>
      <c r="B783" s="4" t="s">
        <v>884</v>
      </c>
      <c r="C783" s="17" t="str">
        <f t="shared" si="24"/>
        <v>IS</v>
      </c>
      <c r="D783" s="12">
        <v>0</v>
      </c>
      <c r="J783" s="10">
        <f t="shared" si="25"/>
        <v>0</v>
      </c>
    </row>
    <row r="784" spans="1:10" x14ac:dyDescent="0.2">
      <c r="A784" s="4" t="s">
        <v>801</v>
      </c>
      <c r="B784" s="4" t="s">
        <v>884</v>
      </c>
      <c r="C784" s="17" t="str">
        <f t="shared" si="24"/>
        <v>IS</v>
      </c>
      <c r="D784" s="12">
        <v>0</v>
      </c>
      <c r="J784" s="10">
        <f t="shared" si="25"/>
        <v>0</v>
      </c>
    </row>
    <row r="785" spans="1:10" x14ac:dyDescent="0.2">
      <c r="A785" s="4" t="s">
        <v>802</v>
      </c>
      <c r="B785" s="4" t="s">
        <v>884</v>
      </c>
      <c r="C785" s="17" t="str">
        <f t="shared" si="24"/>
        <v>IS</v>
      </c>
      <c r="D785" s="12">
        <v>0</v>
      </c>
      <c r="J785" s="10">
        <f t="shared" si="25"/>
        <v>0</v>
      </c>
    </row>
    <row r="786" spans="1:10" x14ac:dyDescent="0.2">
      <c r="A786" s="4" t="s">
        <v>803</v>
      </c>
      <c r="B786" s="4" t="s">
        <v>884</v>
      </c>
      <c r="C786" s="17" t="str">
        <f t="shared" si="24"/>
        <v>IS</v>
      </c>
      <c r="D786" s="12">
        <v>0</v>
      </c>
      <c r="J786" s="10">
        <f t="shared" si="25"/>
        <v>0</v>
      </c>
    </row>
    <row r="787" spans="1:10" x14ac:dyDescent="0.2">
      <c r="A787" s="4" t="s">
        <v>804</v>
      </c>
      <c r="B787" s="4" t="s">
        <v>884</v>
      </c>
      <c r="C787" s="17" t="str">
        <f t="shared" si="24"/>
        <v>IS</v>
      </c>
      <c r="D787" s="12">
        <v>0</v>
      </c>
      <c r="J787" s="10">
        <f t="shared" si="25"/>
        <v>0</v>
      </c>
    </row>
    <row r="788" spans="1:10" x14ac:dyDescent="0.2">
      <c r="A788" s="4" t="s">
        <v>848</v>
      </c>
      <c r="B788" s="4" t="s">
        <v>885</v>
      </c>
      <c r="C788" s="17" t="str">
        <f t="shared" si="24"/>
        <v>IS</v>
      </c>
      <c r="D788" s="12">
        <v>0</v>
      </c>
      <c r="J788" s="10">
        <f t="shared" si="25"/>
        <v>0</v>
      </c>
    </row>
    <row r="789" spans="1:10" x14ac:dyDescent="0.2">
      <c r="A789" s="4" t="s">
        <v>920</v>
      </c>
      <c r="B789" s="4" t="s">
        <v>886</v>
      </c>
      <c r="C789" s="17" t="str">
        <f t="shared" si="24"/>
        <v>IS</v>
      </c>
      <c r="D789" s="12">
        <v>0</v>
      </c>
      <c r="J789" s="10">
        <f t="shared" si="25"/>
        <v>0</v>
      </c>
    </row>
    <row r="790" spans="1:10" x14ac:dyDescent="0.2">
      <c r="A790" s="4" t="s">
        <v>765</v>
      </c>
      <c r="B790" s="4" t="s">
        <v>887</v>
      </c>
      <c r="C790" s="17" t="str">
        <f t="shared" si="24"/>
        <v>IS</v>
      </c>
      <c r="D790" s="12">
        <v>0</v>
      </c>
      <c r="J790" s="10">
        <f t="shared" si="25"/>
        <v>0</v>
      </c>
    </row>
    <row r="791" spans="1:10" x14ac:dyDescent="0.2">
      <c r="A791" s="4" t="s">
        <v>944</v>
      </c>
      <c r="B791" s="4" t="s">
        <v>888</v>
      </c>
      <c r="C791" s="17" t="str">
        <f t="shared" si="24"/>
        <v>IS</v>
      </c>
      <c r="D791" s="12">
        <v>0</v>
      </c>
      <c r="J791" s="10">
        <f t="shared" si="25"/>
        <v>0</v>
      </c>
    </row>
    <row r="792" spans="1:10" x14ac:dyDescent="0.2">
      <c r="A792" s="4" t="s">
        <v>945</v>
      </c>
      <c r="B792" s="4" t="s">
        <v>888</v>
      </c>
      <c r="C792" s="17" t="str">
        <f t="shared" si="24"/>
        <v>IS</v>
      </c>
      <c r="D792" s="12">
        <v>0</v>
      </c>
      <c r="J792" s="10">
        <f t="shared" si="25"/>
        <v>0</v>
      </c>
    </row>
    <row r="793" spans="1:10" x14ac:dyDescent="0.2">
      <c r="A793" s="4" t="s">
        <v>946</v>
      </c>
      <c r="B793" s="4" t="s">
        <v>888</v>
      </c>
      <c r="C793" s="17" t="str">
        <f t="shared" si="24"/>
        <v>IS</v>
      </c>
      <c r="D793" s="12">
        <v>0</v>
      </c>
      <c r="J793" s="10">
        <f t="shared" si="25"/>
        <v>0</v>
      </c>
    </row>
    <row r="794" spans="1:10" x14ac:dyDescent="0.2">
      <c r="A794" s="4" t="s">
        <v>947</v>
      </c>
      <c r="B794" s="4" t="s">
        <v>888</v>
      </c>
      <c r="C794" s="17" t="str">
        <f t="shared" si="24"/>
        <v>IS</v>
      </c>
      <c r="D794" s="12">
        <v>0</v>
      </c>
      <c r="J794" s="10">
        <f t="shared" si="25"/>
        <v>0</v>
      </c>
    </row>
    <row r="795" spans="1:10" x14ac:dyDescent="0.2">
      <c r="A795" s="4" t="s">
        <v>948</v>
      </c>
      <c r="B795" s="4" t="s">
        <v>889</v>
      </c>
      <c r="C795" s="17" t="str">
        <f t="shared" si="24"/>
        <v>IS</v>
      </c>
      <c r="D795" s="12">
        <v>0</v>
      </c>
      <c r="E795" s="12" t="s">
        <v>18</v>
      </c>
      <c r="F795" s="12" t="s">
        <v>17</v>
      </c>
      <c r="J795" s="10">
        <f t="shared" si="25"/>
        <v>0</v>
      </c>
    </row>
    <row r="796" spans="1:10" x14ac:dyDescent="0.2">
      <c r="A796" s="4" t="s">
        <v>425</v>
      </c>
      <c r="B796" s="4" t="s">
        <v>949</v>
      </c>
      <c r="C796" s="17" t="str">
        <f t="shared" si="24"/>
        <v>MA</v>
      </c>
      <c r="D796" s="12">
        <v>0</v>
      </c>
      <c r="J796" s="10" t="str">
        <f t="shared" si="25"/>
        <v>Y</v>
      </c>
    </row>
    <row r="797" spans="1:10" x14ac:dyDescent="0.2">
      <c r="A797" s="4" t="s">
        <v>270</v>
      </c>
      <c r="B797" s="4" t="s">
        <v>950</v>
      </c>
      <c r="C797" s="17" t="str">
        <f t="shared" si="24"/>
        <v>MA</v>
      </c>
      <c r="D797" s="12">
        <v>6.4</v>
      </c>
      <c r="J797" s="10" t="str">
        <f t="shared" si="25"/>
        <v>Y</v>
      </c>
    </row>
    <row r="798" spans="1:10" x14ac:dyDescent="0.2">
      <c r="A798" s="4" t="s">
        <v>960</v>
      </c>
      <c r="B798" s="4" t="s">
        <v>951</v>
      </c>
      <c r="C798" s="17" t="str">
        <f t="shared" si="24"/>
        <v>MA</v>
      </c>
      <c r="D798" s="12">
        <v>0</v>
      </c>
      <c r="J798" s="10" t="str">
        <f t="shared" si="25"/>
        <v>Y</v>
      </c>
    </row>
    <row r="799" spans="1:10" x14ac:dyDescent="0.2">
      <c r="A799" s="4" t="s">
        <v>229</v>
      </c>
      <c r="B799" s="4" t="s">
        <v>952</v>
      </c>
      <c r="C799" s="17" t="str">
        <f t="shared" si="24"/>
        <v>MA</v>
      </c>
      <c r="D799" s="12">
        <v>0</v>
      </c>
      <c r="J799" s="10" t="str">
        <f t="shared" si="25"/>
        <v>Y</v>
      </c>
    </row>
    <row r="800" spans="1:10" x14ac:dyDescent="0.2">
      <c r="A800" s="4" t="s">
        <v>270</v>
      </c>
      <c r="B800" s="4" t="s">
        <v>953</v>
      </c>
      <c r="C800" s="17" t="str">
        <f t="shared" si="24"/>
        <v>MA</v>
      </c>
      <c r="D800" s="12">
        <v>0</v>
      </c>
      <c r="J800" s="10" t="str">
        <f t="shared" si="25"/>
        <v>Y</v>
      </c>
    </row>
    <row r="801" spans="1:10" x14ac:dyDescent="0.2">
      <c r="A801" s="4" t="s">
        <v>588</v>
      </c>
      <c r="B801" s="4" t="s">
        <v>954</v>
      </c>
      <c r="C801" s="17" t="str">
        <f t="shared" si="24"/>
        <v>MA</v>
      </c>
      <c r="D801" s="12">
        <v>0</v>
      </c>
      <c r="J801" s="10" t="str">
        <f t="shared" si="25"/>
        <v>Y</v>
      </c>
    </row>
    <row r="802" spans="1:10" x14ac:dyDescent="0.2">
      <c r="A802" s="4" t="s">
        <v>248</v>
      </c>
      <c r="B802" s="4" t="s">
        <v>955</v>
      </c>
      <c r="C802" s="17" t="str">
        <f t="shared" si="24"/>
        <v>MA</v>
      </c>
      <c r="D802" s="12">
        <v>0</v>
      </c>
      <c r="J802" s="10" t="str">
        <f t="shared" si="25"/>
        <v>Y</v>
      </c>
    </row>
    <row r="803" spans="1:10" x14ac:dyDescent="0.2">
      <c r="A803" s="4" t="s">
        <v>241</v>
      </c>
      <c r="B803" s="4" t="s">
        <v>956</v>
      </c>
      <c r="C803" s="17" t="str">
        <f t="shared" si="24"/>
        <v>MA</v>
      </c>
      <c r="D803" s="12">
        <v>0</v>
      </c>
      <c r="J803" s="10" t="str">
        <f t="shared" si="25"/>
        <v>Y</v>
      </c>
    </row>
    <row r="804" spans="1:10" x14ac:dyDescent="0.2">
      <c r="A804" s="4" t="s">
        <v>229</v>
      </c>
      <c r="B804" s="4" t="s">
        <v>957</v>
      </c>
      <c r="C804" s="17" t="str">
        <f t="shared" si="24"/>
        <v>MA</v>
      </c>
      <c r="D804" s="12">
        <v>0</v>
      </c>
      <c r="J804" s="10" t="str">
        <f t="shared" si="25"/>
        <v>Y</v>
      </c>
    </row>
    <row r="805" spans="1:10" x14ac:dyDescent="0.2">
      <c r="A805" s="4" t="s">
        <v>1212</v>
      </c>
      <c r="B805" s="4" t="s">
        <v>984</v>
      </c>
      <c r="C805" s="17" t="str">
        <f t="shared" si="24"/>
        <v>CO</v>
      </c>
      <c r="D805" s="12">
        <v>0</v>
      </c>
      <c r="J805" s="10">
        <f t="shared" si="25"/>
        <v>0</v>
      </c>
    </row>
    <row r="806" spans="1:10" x14ac:dyDescent="0.2">
      <c r="A806" s="4" t="s">
        <v>1213</v>
      </c>
      <c r="B806" s="4" t="s">
        <v>985</v>
      </c>
      <c r="C806" s="17" t="str">
        <f t="shared" si="24"/>
        <v>CO</v>
      </c>
      <c r="D806" s="12">
        <v>0</v>
      </c>
      <c r="J806" s="10">
        <f t="shared" si="25"/>
        <v>0</v>
      </c>
    </row>
    <row r="807" spans="1:10" x14ac:dyDescent="0.2">
      <c r="A807" s="4" t="s">
        <v>1214</v>
      </c>
      <c r="B807" s="4" t="s">
        <v>986</v>
      </c>
      <c r="C807" s="17" t="str">
        <f t="shared" si="24"/>
        <v>CO</v>
      </c>
      <c r="D807" s="12">
        <v>0</v>
      </c>
      <c r="J807" s="10">
        <f t="shared" si="25"/>
        <v>0</v>
      </c>
    </row>
    <row r="808" spans="1:10" x14ac:dyDescent="0.2">
      <c r="A808" s="4" t="s">
        <v>1215</v>
      </c>
      <c r="B808" s="4" t="s">
        <v>987</v>
      </c>
      <c r="C808" s="17" t="str">
        <f t="shared" si="24"/>
        <v>CO</v>
      </c>
      <c r="D808" s="12">
        <v>0</v>
      </c>
      <c r="J808" s="10">
        <f t="shared" si="25"/>
        <v>0</v>
      </c>
    </row>
    <row r="809" spans="1:10" x14ac:dyDescent="0.2">
      <c r="A809" s="4" t="s">
        <v>1216</v>
      </c>
      <c r="B809" s="4" t="s">
        <v>988</v>
      </c>
      <c r="C809" s="17" t="str">
        <f t="shared" si="24"/>
        <v>CO</v>
      </c>
      <c r="D809" s="12">
        <v>0</v>
      </c>
      <c r="J809" s="10">
        <f t="shared" si="25"/>
        <v>0</v>
      </c>
    </row>
    <row r="810" spans="1:10" x14ac:dyDescent="0.2">
      <c r="A810" s="4" t="s">
        <v>1217</v>
      </c>
      <c r="B810" s="4" t="s">
        <v>989</v>
      </c>
      <c r="C810" s="17" t="str">
        <f t="shared" si="24"/>
        <v>CO</v>
      </c>
      <c r="D810" s="12">
        <v>0</v>
      </c>
      <c r="J810" s="10">
        <f t="shared" si="25"/>
        <v>0</v>
      </c>
    </row>
    <row r="811" spans="1:10" x14ac:dyDescent="0.2">
      <c r="A811" s="4" t="s">
        <v>1218</v>
      </c>
      <c r="B811" s="4" t="s">
        <v>990</v>
      </c>
      <c r="C811" s="17" t="str">
        <f t="shared" si="24"/>
        <v>CO</v>
      </c>
      <c r="D811" s="12">
        <v>0</v>
      </c>
      <c r="J811" s="10">
        <f t="shared" si="25"/>
        <v>0</v>
      </c>
    </row>
    <row r="812" spans="1:10" x14ac:dyDescent="0.2">
      <c r="A812" s="4" t="s">
        <v>1219</v>
      </c>
      <c r="B812" s="4" t="s">
        <v>991</v>
      </c>
      <c r="C812" s="17" t="str">
        <f t="shared" si="24"/>
        <v>CO</v>
      </c>
      <c r="D812" s="12">
        <v>0</v>
      </c>
      <c r="J812" s="10">
        <f t="shared" si="25"/>
        <v>0</v>
      </c>
    </row>
    <row r="813" spans="1:10" x14ac:dyDescent="0.2">
      <c r="A813" s="4" t="s">
        <v>1220</v>
      </c>
      <c r="B813" s="4" t="s">
        <v>992</v>
      </c>
      <c r="C813" s="17" t="str">
        <f t="shared" si="24"/>
        <v>CO</v>
      </c>
      <c r="D813" s="12">
        <v>0</v>
      </c>
      <c r="J813" s="10">
        <f t="shared" si="25"/>
        <v>0</v>
      </c>
    </row>
    <row r="814" spans="1:10" x14ac:dyDescent="0.2">
      <c r="A814" s="4" t="s">
        <v>1221</v>
      </c>
      <c r="B814" s="4" t="s">
        <v>993</v>
      </c>
      <c r="C814" s="17" t="str">
        <f t="shared" si="24"/>
        <v>CO</v>
      </c>
      <c r="D814" s="12">
        <v>0</v>
      </c>
      <c r="J814" s="10">
        <f t="shared" si="25"/>
        <v>0</v>
      </c>
    </row>
    <row r="815" spans="1:10" x14ac:dyDescent="0.2">
      <c r="A815" s="4" t="s">
        <v>1222</v>
      </c>
      <c r="B815" s="4" t="s">
        <v>994</v>
      </c>
      <c r="C815" s="17" t="str">
        <f t="shared" si="24"/>
        <v>CO</v>
      </c>
      <c r="D815" s="12">
        <v>0</v>
      </c>
      <c r="J815" s="10">
        <f t="shared" si="25"/>
        <v>0</v>
      </c>
    </row>
    <row r="816" spans="1:10" x14ac:dyDescent="0.2">
      <c r="A816" s="4" t="s">
        <v>1223</v>
      </c>
      <c r="B816" s="4" t="s">
        <v>995</v>
      </c>
      <c r="C816" s="17" t="str">
        <f t="shared" si="24"/>
        <v>CO</v>
      </c>
      <c r="D816" s="12">
        <v>0</v>
      </c>
      <c r="J816" s="10">
        <f t="shared" si="25"/>
        <v>0</v>
      </c>
    </row>
    <row r="817" spans="1:10" x14ac:dyDescent="0.2">
      <c r="A817" s="4" t="s">
        <v>464</v>
      </c>
      <c r="B817" s="4" t="s">
        <v>996</v>
      </c>
      <c r="C817" s="17" t="str">
        <f t="shared" si="24"/>
        <v>CO</v>
      </c>
      <c r="D817" s="12">
        <v>0</v>
      </c>
      <c r="J817" s="10">
        <f t="shared" si="25"/>
        <v>0</v>
      </c>
    </row>
    <row r="818" spans="1:10" x14ac:dyDescent="0.2">
      <c r="A818" s="4" t="s">
        <v>466</v>
      </c>
      <c r="B818" s="4" t="s">
        <v>996</v>
      </c>
      <c r="C818" s="17" t="str">
        <f t="shared" si="24"/>
        <v>CO</v>
      </c>
      <c r="D818" s="12">
        <v>0</v>
      </c>
      <c r="J818" s="10">
        <f t="shared" si="25"/>
        <v>0</v>
      </c>
    </row>
    <row r="819" spans="1:10" x14ac:dyDescent="0.2">
      <c r="A819" s="4" t="s">
        <v>1224</v>
      </c>
      <c r="B819" s="4" t="s">
        <v>997</v>
      </c>
      <c r="C819" s="17" t="str">
        <f t="shared" si="24"/>
        <v>CO</v>
      </c>
      <c r="D819" s="12">
        <v>0</v>
      </c>
      <c r="J819" s="10">
        <f t="shared" si="25"/>
        <v>0</v>
      </c>
    </row>
    <row r="820" spans="1:10" x14ac:dyDescent="0.2">
      <c r="A820" s="4" t="s">
        <v>1225</v>
      </c>
      <c r="B820" s="4" t="s">
        <v>997</v>
      </c>
      <c r="C820" s="17" t="str">
        <f t="shared" si="24"/>
        <v>CO</v>
      </c>
      <c r="D820" s="12">
        <v>0</v>
      </c>
      <c r="J820" s="10">
        <f t="shared" si="25"/>
        <v>0</v>
      </c>
    </row>
    <row r="821" spans="1:10" x14ac:dyDescent="0.2">
      <c r="A821" s="4" t="s">
        <v>1226</v>
      </c>
      <c r="B821" s="4" t="s">
        <v>998</v>
      </c>
      <c r="C821" s="17" t="str">
        <f t="shared" si="24"/>
        <v>CO</v>
      </c>
      <c r="D821" s="12">
        <v>0</v>
      </c>
      <c r="J821" s="10">
        <f t="shared" si="25"/>
        <v>0</v>
      </c>
    </row>
    <row r="822" spans="1:10" x14ac:dyDescent="0.2">
      <c r="A822" s="4" t="s">
        <v>1227</v>
      </c>
      <c r="B822" s="4" t="s">
        <v>998</v>
      </c>
      <c r="C822" s="17" t="str">
        <f t="shared" si="24"/>
        <v>CO</v>
      </c>
      <c r="D822" s="12">
        <v>0</v>
      </c>
      <c r="J822" s="10">
        <f t="shared" si="25"/>
        <v>0</v>
      </c>
    </row>
    <row r="823" spans="1:10" x14ac:dyDescent="0.2">
      <c r="A823" s="4" t="s">
        <v>580</v>
      </c>
      <c r="B823" s="4" t="s">
        <v>999</v>
      </c>
      <c r="C823" s="17" t="str">
        <f t="shared" si="24"/>
        <v>CO</v>
      </c>
      <c r="D823" s="12">
        <v>0</v>
      </c>
      <c r="J823" s="10">
        <f t="shared" si="25"/>
        <v>0</v>
      </c>
    </row>
    <row r="824" spans="1:10" x14ac:dyDescent="0.2">
      <c r="A824" s="4" t="s">
        <v>582</v>
      </c>
      <c r="B824" s="4" t="s">
        <v>999</v>
      </c>
      <c r="C824" s="17" t="str">
        <f t="shared" si="24"/>
        <v>CO</v>
      </c>
      <c r="D824" s="12">
        <v>0</v>
      </c>
      <c r="J824" s="10">
        <f t="shared" si="25"/>
        <v>0</v>
      </c>
    </row>
    <row r="825" spans="1:10" x14ac:dyDescent="0.2">
      <c r="A825" s="4" t="s">
        <v>583</v>
      </c>
      <c r="B825" s="4" t="s">
        <v>999</v>
      </c>
      <c r="C825" s="17" t="str">
        <f t="shared" si="24"/>
        <v>CO</v>
      </c>
      <c r="D825" s="12">
        <v>0</v>
      </c>
      <c r="J825" s="10">
        <f t="shared" si="25"/>
        <v>0</v>
      </c>
    </row>
    <row r="826" spans="1:10" x14ac:dyDescent="0.2">
      <c r="A826" s="4" t="s">
        <v>581</v>
      </c>
      <c r="B826" s="4" t="s">
        <v>999</v>
      </c>
      <c r="C826" s="17" t="str">
        <f t="shared" si="24"/>
        <v>CO</v>
      </c>
      <c r="D826" s="12">
        <v>0</v>
      </c>
      <c r="J826" s="10">
        <f t="shared" si="25"/>
        <v>0</v>
      </c>
    </row>
    <row r="827" spans="1:10" x14ac:dyDescent="0.2">
      <c r="A827" s="4" t="s">
        <v>584</v>
      </c>
      <c r="B827" s="4" t="s">
        <v>999</v>
      </c>
      <c r="C827" s="17" t="str">
        <f t="shared" si="24"/>
        <v>CO</v>
      </c>
      <c r="D827" s="12">
        <v>0</v>
      </c>
      <c r="J827" s="10">
        <f t="shared" si="25"/>
        <v>0</v>
      </c>
    </row>
    <row r="828" spans="1:10" x14ac:dyDescent="0.2">
      <c r="A828" s="4" t="s">
        <v>1228</v>
      </c>
      <c r="B828" s="4" t="s">
        <v>999</v>
      </c>
      <c r="C828" s="17" t="str">
        <f t="shared" si="24"/>
        <v>CO</v>
      </c>
      <c r="D828" s="12">
        <v>0</v>
      </c>
      <c r="J828" s="10">
        <f t="shared" si="25"/>
        <v>0</v>
      </c>
    </row>
    <row r="829" spans="1:10" x14ac:dyDescent="0.2">
      <c r="A829" s="4" t="s">
        <v>280</v>
      </c>
      <c r="B829" s="4" t="s">
        <v>1000</v>
      </c>
      <c r="C829" s="17" t="str">
        <f t="shared" si="24"/>
        <v>CO</v>
      </c>
      <c r="D829" s="12">
        <v>0</v>
      </c>
      <c r="J829" s="10">
        <f t="shared" si="25"/>
        <v>0</v>
      </c>
    </row>
    <row r="830" spans="1:10" x14ac:dyDescent="0.2">
      <c r="A830" s="4" t="s">
        <v>1229</v>
      </c>
      <c r="B830" s="4" t="s">
        <v>1001</v>
      </c>
      <c r="C830" s="17" t="str">
        <f t="shared" si="24"/>
        <v>CO</v>
      </c>
      <c r="D830" s="12">
        <v>0</v>
      </c>
      <c r="J830" s="10">
        <f t="shared" si="25"/>
        <v>0</v>
      </c>
    </row>
    <row r="831" spans="1:10" x14ac:dyDescent="0.2">
      <c r="A831" s="4" t="s">
        <v>1230</v>
      </c>
      <c r="B831" s="4" t="s">
        <v>1001</v>
      </c>
      <c r="C831" s="17" t="str">
        <f t="shared" si="24"/>
        <v>CO</v>
      </c>
      <c r="D831" s="12">
        <v>0</v>
      </c>
      <c r="J831" s="10">
        <f t="shared" si="25"/>
        <v>0</v>
      </c>
    </row>
    <row r="832" spans="1:10" x14ac:dyDescent="0.2">
      <c r="A832" s="4" t="s">
        <v>1231</v>
      </c>
      <c r="B832" s="4" t="s">
        <v>1001</v>
      </c>
      <c r="C832" s="17" t="str">
        <f t="shared" si="24"/>
        <v>CO</v>
      </c>
      <c r="D832" s="12">
        <v>0</v>
      </c>
      <c r="J832" s="10">
        <f t="shared" si="25"/>
        <v>0</v>
      </c>
    </row>
    <row r="833" spans="1:10" x14ac:dyDescent="0.2">
      <c r="A833" s="4" t="s">
        <v>1232</v>
      </c>
      <c r="B833" s="4" t="s">
        <v>1001</v>
      </c>
      <c r="C833" s="17" t="str">
        <f t="shared" si="24"/>
        <v>CO</v>
      </c>
      <c r="D833" s="12">
        <v>0</v>
      </c>
      <c r="J833" s="10">
        <f t="shared" si="25"/>
        <v>0</v>
      </c>
    </row>
    <row r="834" spans="1:10" x14ac:dyDescent="0.2">
      <c r="A834" s="4" t="s">
        <v>1233</v>
      </c>
      <c r="B834" s="4" t="s">
        <v>1002</v>
      </c>
      <c r="C834" s="17" t="str">
        <f t="shared" ref="C834:C897" si="26">VLOOKUP(B834, quota_order_numbers2, 6, FALSE)</f>
        <v>CO</v>
      </c>
      <c r="D834" s="12">
        <v>0</v>
      </c>
      <c r="J834" s="10">
        <f t="shared" ref="J834:J897" si="27">VLOOKUP(B834, quota_order_numbers2, 2, FALSE)</f>
        <v>0</v>
      </c>
    </row>
    <row r="835" spans="1:10" x14ac:dyDescent="0.2">
      <c r="A835" s="4" t="s">
        <v>1234</v>
      </c>
      <c r="B835" s="4" t="s">
        <v>1002</v>
      </c>
      <c r="C835" s="17" t="str">
        <f t="shared" si="26"/>
        <v>CO</v>
      </c>
      <c r="D835" s="12">
        <v>0</v>
      </c>
      <c r="J835" s="10">
        <f t="shared" si="27"/>
        <v>0</v>
      </c>
    </row>
    <row r="836" spans="1:10" x14ac:dyDescent="0.2">
      <c r="A836" s="4" t="s">
        <v>596</v>
      </c>
      <c r="B836" s="4" t="s">
        <v>1002</v>
      </c>
      <c r="C836" s="17" t="str">
        <f t="shared" si="26"/>
        <v>CO</v>
      </c>
      <c r="D836" s="12">
        <v>0</v>
      </c>
      <c r="J836" s="10">
        <f t="shared" si="27"/>
        <v>0</v>
      </c>
    </row>
    <row r="837" spans="1:10" x14ac:dyDescent="0.2">
      <c r="A837" s="4" t="s">
        <v>597</v>
      </c>
      <c r="B837" s="4" t="s">
        <v>1002</v>
      </c>
      <c r="C837" s="17" t="str">
        <f t="shared" si="26"/>
        <v>CO</v>
      </c>
      <c r="D837" s="12">
        <v>0</v>
      </c>
      <c r="J837" s="10">
        <f t="shared" si="27"/>
        <v>0</v>
      </c>
    </row>
    <row r="838" spans="1:10" x14ac:dyDescent="0.2">
      <c r="A838" s="4" t="s">
        <v>1235</v>
      </c>
      <c r="B838" s="4" t="s">
        <v>1002</v>
      </c>
      <c r="C838" s="17" t="str">
        <f t="shared" si="26"/>
        <v>CO</v>
      </c>
      <c r="D838" s="12">
        <v>0</v>
      </c>
      <c r="J838" s="10">
        <f t="shared" si="27"/>
        <v>0</v>
      </c>
    </row>
    <row r="839" spans="1:10" x14ac:dyDescent="0.2">
      <c r="A839" s="4" t="s">
        <v>1236</v>
      </c>
      <c r="B839" s="4" t="s">
        <v>1002</v>
      </c>
      <c r="C839" s="17" t="str">
        <f t="shared" si="26"/>
        <v>CO</v>
      </c>
      <c r="D839" s="12">
        <v>0</v>
      </c>
      <c r="J839" s="10">
        <f t="shared" si="27"/>
        <v>0</v>
      </c>
    </row>
    <row r="840" spans="1:10" x14ac:dyDescent="0.2">
      <c r="A840" s="4" t="s">
        <v>1237</v>
      </c>
      <c r="B840" s="4" t="s">
        <v>1002</v>
      </c>
      <c r="C840" s="17" t="str">
        <f t="shared" si="26"/>
        <v>CO</v>
      </c>
      <c r="D840" s="12">
        <v>0</v>
      </c>
      <c r="J840" s="10">
        <f t="shared" si="27"/>
        <v>0</v>
      </c>
    </row>
    <row r="841" spans="1:10" x14ac:dyDescent="0.2">
      <c r="A841" s="4" t="s">
        <v>1238</v>
      </c>
      <c r="B841" s="4" t="s">
        <v>1002</v>
      </c>
      <c r="C841" s="17" t="str">
        <f t="shared" si="26"/>
        <v>CO</v>
      </c>
      <c r="D841" s="12">
        <v>0</v>
      </c>
      <c r="J841" s="10">
        <f t="shared" si="27"/>
        <v>0</v>
      </c>
    </row>
    <row r="842" spans="1:10" x14ac:dyDescent="0.2">
      <c r="A842" s="4" t="s">
        <v>1239</v>
      </c>
      <c r="B842" s="4" t="s">
        <v>1002</v>
      </c>
      <c r="C842" s="17" t="str">
        <f t="shared" si="26"/>
        <v>CO</v>
      </c>
      <c r="D842" s="12">
        <v>0</v>
      </c>
      <c r="J842" s="10">
        <f t="shared" si="27"/>
        <v>0</v>
      </c>
    </row>
    <row r="843" spans="1:10" x14ac:dyDescent="0.2">
      <c r="A843" s="4" t="s">
        <v>1240</v>
      </c>
      <c r="B843" s="4" t="s">
        <v>1002</v>
      </c>
      <c r="C843" s="17" t="str">
        <f t="shared" si="26"/>
        <v>CO</v>
      </c>
      <c r="D843" s="12">
        <v>0</v>
      </c>
      <c r="J843" s="10">
        <f t="shared" si="27"/>
        <v>0</v>
      </c>
    </row>
    <row r="844" spans="1:10" x14ac:dyDescent="0.2">
      <c r="A844" s="4" t="s">
        <v>1241</v>
      </c>
      <c r="B844" s="4" t="s">
        <v>1002</v>
      </c>
      <c r="C844" s="17" t="str">
        <f t="shared" si="26"/>
        <v>CO</v>
      </c>
      <c r="D844" s="12">
        <v>0</v>
      </c>
      <c r="J844" s="10">
        <f t="shared" si="27"/>
        <v>0</v>
      </c>
    </row>
    <row r="845" spans="1:10" x14ac:dyDescent="0.2">
      <c r="A845" s="4" t="s">
        <v>1242</v>
      </c>
      <c r="B845" s="4" t="s">
        <v>1002</v>
      </c>
      <c r="C845" s="17" t="str">
        <f t="shared" si="26"/>
        <v>CO</v>
      </c>
      <c r="D845" s="12">
        <v>0</v>
      </c>
      <c r="J845" s="10">
        <f t="shared" si="27"/>
        <v>0</v>
      </c>
    </row>
    <row r="846" spans="1:10" x14ac:dyDescent="0.2">
      <c r="A846" s="4" t="s">
        <v>1243</v>
      </c>
      <c r="B846" s="4" t="s">
        <v>1002</v>
      </c>
      <c r="C846" s="17" t="str">
        <f t="shared" si="26"/>
        <v>CO</v>
      </c>
      <c r="D846" s="12">
        <v>0</v>
      </c>
      <c r="J846" s="10">
        <f t="shared" si="27"/>
        <v>0</v>
      </c>
    </row>
    <row r="847" spans="1:10" x14ac:dyDescent="0.2">
      <c r="A847" s="4" t="s">
        <v>1244</v>
      </c>
      <c r="B847" s="4" t="s">
        <v>1002</v>
      </c>
      <c r="C847" s="17" t="str">
        <f t="shared" si="26"/>
        <v>CO</v>
      </c>
      <c r="D847" s="12">
        <v>0</v>
      </c>
      <c r="J847" s="10">
        <f t="shared" si="27"/>
        <v>0</v>
      </c>
    </row>
    <row r="848" spans="1:10" x14ac:dyDescent="0.2">
      <c r="A848" s="4" t="s">
        <v>1245</v>
      </c>
      <c r="B848" s="4" t="s">
        <v>1002</v>
      </c>
      <c r="C848" s="17" t="str">
        <f t="shared" si="26"/>
        <v>CO</v>
      </c>
      <c r="D848" s="12">
        <v>0</v>
      </c>
      <c r="J848" s="10">
        <f t="shared" si="27"/>
        <v>0</v>
      </c>
    </row>
    <row r="849" spans="1:10" x14ac:dyDescent="0.2">
      <c r="A849" s="4" t="s">
        <v>1246</v>
      </c>
      <c r="B849" s="4" t="s">
        <v>1002</v>
      </c>
      <c r="C849" s="17" t="str">
        <f t="shared" si="26"/>
        <v>CO</v>
      </c>
      <c r="D849" s="12">
        <v>0</v>
      </c>
      <c r="J849" s="10">
        <f t="shared" si="27"/>
        <v>0</v>
      </c>
    </row>
    <row r="850" spans="1:10" x14ac:dyDescent="0.2">
      <c r="A850" s="4" t="s">
        <v>1247</v>
      </c>
      <c r="B850" s="4" t="s">
        <v>1002</v>
      </c>
      <c r="C850" s="17" t="str">
        <f t="shared" si="26"/>
        <v>CO</v>
      </c>
      <c r="D850" s="12">
        <v>0</v>
      </c>
      <c r="J850" s="10">
        <f t="shared" si="27"/>
        <v>0</v>
      </c>
    </row>
    <row r="851" spans="1:10" x14ac:dyDescent="0.2">
      <c r="A851" s="4" t="s">
        <v>1248</v>
      </c>
      <c r="B851" s="4" t="s">
        <v>1002</v>
      </c>
      <c r="C851" s="17" t="str">
        <f t="shared" si="26"/>
        <v>CO</v>
      </c>
      <c r="D851" s="12">
        <v>0</v>
      </c>
      <c r="J851" s="10">
        <f t="shared" si="27"/>
        <v>0</v>
      </c>
    </row>
    <row r="852" spans="1:10" x14ac:dyDescent="0.2">
      <c r="A852" s="4" t="s">
        <v>1249</v>
      </c>
      <c r="B852" s="4" t="s">
        <v>1002</v>
      </c>
      <c r="C852" s="17" t="str">
        <f t="shared" si="26"/>
        <v>CO</v>
      </c>
      <c r="D852" s="12">
        <v>0</v>
      </c>
      <c r="J852" s="10">
        <f t="shared" si="27"/>
        <v>0</v>
      </c>
    </row>
    <row r="853" spans="1:10" x14ac:dyDescent="0.2">
      <c r="A853" s="4" t="s">
        <v>1250</v>
      </c>
      <c r="B853" s="4" t="s">
        <v>1002</v>
      </c>
      <c r="C853" s="17" t="str">
        <f t="shared" si="26"/>
        <v>CO</v>
      </c>
      <c r="D853" s="12">
        <v>0</v>
      </c>
      <c r="J853" s="10">
        <f t="shared" si="27"/>
        <v>0</v>
      </c>
    </row>
    <row r="854" spans="1:10" x14ac:dyDescent="0.2">
      <c r="A854" s="4" t="s">
        <v>1251</v>
      </c>
      <c r="B854" s="4" t="s">
        <v>1002</v>
      </c>
      <c r="C854" s="17" t="str">
        <f t="shared" si="26"/>
        <v>CO</v>
      </c>
      <c r="D854" s="12">
        <v>0</v>
      </c>
      <c r="J854" s="10">
        <f t="shared" si="27"/>
        <v>0</v>
      </c>
    </row>
    <row r="855" spans="1:10" x14ac:dyDescent="0.2">
      <c r="A855" s="4" t="s">
        <v>1252</v>
      </c>
      <c r="B855" s="4" t="s">
        <v>1002</v>
      </c>
      <c r="C855" s="17" t="str">
        <f t="shared" si="26"/>
        <v>CO</v>
      </c>
      <c r="D855" s="12">
        <v>0</v>
      </c>
      <c r="J855" s="10">
        <f t="shared" si="27"/>
        <v>0</v>
      </c>
    </row>
    <row r="856" spans="1:10" x14ac:dyDescent="0.2">
      <c r="A856" s="4" t="s">
        <v>1253</v>
      </c>
      <c r="B856" s="4" t="s">
        <v>1002</v>
      </c>
      <c r="C856" s="17" t="str">
        <f t="shared" si="26"/>
        <v>CO</v>
      </c>
      <c r="D856" s="12">
        <v>0</v>
      </c>
      <c r="J856" s="10">
        <f t="shared" si="27"/>
        <v>0</v>
      </c>
    </row>
    <row r="857" spans="1:10" x14ac:dyDescent="0.2">
      <c r="A857" s="4" t="s">
        <v>1254</v>
      </c>
      <c r="B857" s="4" t="s">
        <v>1002</v>
      </c>
      <c r="C857" s="17" t="str">
        <f t="shared" si="26"/>
        <v>CO</v>
      </c>
      <c r="D857" s="12">
        <v>0</v>
      </c>
      <c r="J857" s="10">
        <f t="shared" si="27"/>
        <v>0</v>
      </c>
    </row>
    <row r="858" spans="1:10" x14ac:dyDescent="0.2">
      <c r="A858" s="4" t="s">
        <v>1255</v>
      </c>
      <c r="B858" s="4" t="s">
        <v>1002</v>
      </c>
      <c r="C858" s="17" t="str">
        <f t="shared" si="26"/>
        <v>CO</v>
      </c>
      <c r="D858" s="12">
        <v>0</v>
      </c>
      <c r="J858" s="10">
        <f t="shared" si="27"/>
        <v>0</v>
      </c>
    </row>
    <row r="859" spans="1:10" x14ac:dyDescent="0.2">
      <c r="A859" s="4" t="s">
        <v>1256</v>
      </c>
      <c r="B859" s="4" t="s">
        <v>1002</v>
      </c>
      <c r="C859" s="17" t="str">
        <f t="shared" si="26"/>
        <v>CO</v>
      </c>
      <c r="D859" s="12">
        <v>0</v>
      </c>
      <c r="J859" s="10">
        <f t="shared" si="27"/>
        <v>0</v>
      </c>
    </row>
    <row r="860" spans="1:10" x14ac:dyDescent="0.2">
      <c r="A860" s="4" t="s">
        <v>1257</v>
      </c>
      <c r="B860" s="4" t="s">
        <v>1002</v>
      </c>
      <c r="C860" s="17" t="str">
        <f t="shared" si="26"/>
        <v>CO</v>
      </c>
      <c r="D860" s="12">
        <v>0</v>
      </c>
      <c r="J860" s="10">
        <f t="shared" si="27"/>
        <v>0</v>
      </c>
    </row>
    <row r="861" spans="1:10" x14ac:dyDescent="0.2">
      <c r="A861" s="4" t="s">
        <v>1258</v>
      </c>
      <c r="B861" s="4" t="s">
        <v>1002</v>
      </c>
      <c r="C861" s="17" t="str">
        <f t="shared" si="26"/>
        <v>CO</v>
      </c>
      <c r="D861" s="12">
        <v>0</v>
      </c>
      <c r="J861" s="10">
        <f t="shared" si="27"/>
        <v>0</v>
      </c>
    </row>
    <row r="862" spans="1:10" x14ac:dyDescent="0.2">
      <c r="A862" s="4" t="s">
        <v>1259</v>
      </c>
      <c r="B862" s="4" t="s">
        <v>1002</v>
      </c>
      <c r="C862" s="17" t="str">
        <f t="shared" si="26"/>
        <v>CO</v>
      </c>
      <c r="D862" s="12">
        <v>0</v>
      </c>
      <c r="J862" s="10">
        <f t="shared" si="27"/>
        <v>0</v>
      </c>
    </row>
    <row r="863" spans="1:10" x14ac:dyDescent="0.2">
      <c r="A863" s="4" t="s">
        <v>1260</v>
      </c>
      <c r="B863" s="4" t="s">
        <v>1002</v>
      </c>
      <c r="C863" s="17" t="str">
        <f t="shared" si="26"/>
        <v>CO</v>
      </c>
      <c r="D863" s="12">
        <v>0</v>
      </c>
      <c r="J863" s="10">
        <f t="shared" si="27"/>
        <v>0</v>
      </c>
    </row>
    <row r="864" spans="1:10" x14ac:dyDescent="0.2">
      <c r="A864" s="4" t="s">
        <v>1261</v>
      </c>
      <c r="B864" s="4" t="s">
        <v>1002</v>
      </c>
      <c r="C864" s="17" t="str">
        <f t="shared" si="26"/>
        <v>CO</v>
      </c>
      <c r="D864" s="12">
        <v>0</v>
      </c>
      <c r="J864" s="10">
        <f t="shared" si="27"/>
        <v>0</v>
      </c>
    </row>
    <row r="865" spans="1:10" x14ac:dyDescent="0.2">
      <c r="A865" s="4" t="s">
        <v>1262</v>
      </c>
      <c r="B865" s="4" t="s">
        <v>1002</v>
      </c>
      <c r="C865" s="17" t="str">
        <f t="shared" si="26"/>
        <v>CO</v>
      </c>
      <c r="D865" s="12">
        <v>0</v>
      </c>
      <c r="J865" s="10">
        <f t="shared" si="27"/>
        <v>0</v>
      </c>
    </row>
    <row r="866" spans="1:10" x14ac:dyDescent="0.2">
      <c r="A866" s="4" t="s">
        <v>1263</v>
      </c>
      <c r="B866" s="4" t="s">
        <v>1002</v>
      </c>
      <c r="C866" s="17" t="str">
        <f t="shared" si="26"/>
        <v>CO</v>
      </c>
      <c r="D866" s="12">
        <v>0</v>
      </c>
      <c r="J866" s="10">
        <f t="shared" si="27"/>
        <v>0</v>
      </c>
    </row>
    <row r="867" spans="1:10" x14ac:dyDescent="0.2">
      <c r="A867" s="4" t="s">
        <v>1264</v>
      </c>
      <c r="B867" s="4" t="s">
        <v>1002</v>
      </c>
      <c r="C867" s="17" t="str">
        <f t="shared" si="26"/>
        <v>CO</v>
      </c>
      <c r="D867" s="12">
        <v>0</v>
      </c>
      <c r="J867" s="10">
        <f t="shared" si="27"/>
        <v>0</v>
      </c>
    </row>
    <row r="868" spans="1:10" x14ac:dyDescent="0.2">
      <c r="A868" s="4" t="s">
        <v>1265</v>
      </c>
      <c r="B868" s="4" t="s">
        <v>1002</v>
      </c>
      <c r="C868" s="17" t="str">
        <f t="shared" si="26"/>
        <v>CO</v>
      </c>
      <c r="D868" s="12">
        <v>0</v>
      </c>
      <c r="J868" s="10">
        <f t="shared" si="27"/>
        <v>0</v>
      </c>
    </row>
    <row r="869" spans="1:10" x14ac:dyDescent="0.2">
      <c r="A869" s="4" t="s">
        <v>561</v>
      </c>
      <c r="B869" s="4" t="s">
        <v>1002</v>
      </c>
      <c r="C869" s="17" t="str">
        <f t="shared" si="26"/>
        <v>CO</v>
      </c>
      <c r="D869" s="12">
        <v>0</v>
      </c>
      <c r="J869" s="10">
        <f t="shared" si="27"/>
        <v>0</v>
      </c>
    </row>
    <row r="870" spans="1:10" x14ac:dyDescent="0.2">
      <c r="A870" s="4" t="s">
        <v>544</v>
      </c>
      <c r="B870" s="4" t="s">
        <v>1002</v>
      </c>
      <c r="C870" s="17" t="str">
        <f t="shared" si="26"/>
        <v>CO</v>
      </c>
      <c r="D870" s="12">
        <v>0</v>
      </c>
      <c r="J870" s="10">
        <f t="shared" si="27"/>
        <v>0</v>
      </c>
    </row>
    <row r="871" spans="1:10" x14ac:dyDescent="0.2">
      <c r="A871" s="4" t="s">
        <v>1266</v>
      </c>
      <c r="B871" s="4" t="s">
        <v>1002</v>
      </c>
      <c r="C871" s="17" t="str">
        <f t="shared" si="26"/>
        <v>CO</v>
      </c>
      <c r="D871" s="12">
        <v>0</v>
      </c>
      <c r="J871" s="10">
        <f t="shared" si="27"/>
        <v>0</v>
      </c>
    </row>
    <row r="872" spans="1:10" x14ac:dyDescent="0.2">
      <c r="A872" s="4" t="s">
        <v>570</v>
      </c>
      <c r="B872" s="4" t="s">
        <v>1002</v>
      </c>
      <c r="C872" s="17" t="str">
        <f t="shared" si="26"/>
        <v>CO</v>
      </c>
      <c r="D872" s="12">
        <v>0</v>
      </c>
      <c r="J872" s="10">
        <f t="shared" si="27"/>
        <v>0</v>
      </c>
    </row>
    <row r="873" spans="1:10" x14ac:dyDescent="0.2">
      <c r="A873" s="4" t="s">
        <v>572</v>
      </c>
      <c r="B873" s="4" t="s">
        <v>1002</v>
      </c>
      <c r="C873" s="17" t="str">
        <f t="shared" si="26"/>
        <v>CO</v>
      </c>
      <c r="D873" s="12">
        <v>0</v>
      </c>
      <c r="J873" s="10">
        <f t="shared" si="27"/>
        <v>0</v>
      </c>
    </row>
    <row r="874" spans="1:10" x14ac:dyDescent="0.2">
      <c r="A874" s="4" t="s">
        <v>551</v>
      </c>
      <c r="B874" s="4" t="s">
        <v>1002</v>
      </c>
      <c r="C874" s="17" t="str">
        <f t="shared" si="26"/>
        <v>CO</v>
      </c>
      <c r="D874" s="12">
        <v>0</v>
      </c>
      <c r="J874" s="10">
        <f t="shared" si="27"/>
        <v>0</v>
      </c>
    </row>
    <row r="875" spans="1:10" x14ac:dyDescent="0.2">
      <c r="A875" s="4" t="s">
        <v>553</v>
      </c>
      <c r="B875" s="4" t="s">
        <v>1002</v>
      </c>
      <c r="C875" s="17" t="str">
        <f t="shared" si="26"/>
        <v>CO</v>
      </c>
      <c r="D875" s="12">
        <v>0</v>
      </c>
      <c r="J875" s="10">
        <f t="shared" si="27"/>
        <v>0</v>
      </c>
    </row>
    <row r="876" spans="1:10" x14ac:dyDescent="0.2">
      <c r="A876" s="4" t="s">
        <v>1267</v>
      </c>
      <c r="B876" s="4" t="s">
        <v>1002</v>
      </c>
      <c r="C876" s="17" t="str">
        <f t="shared" si="26"/>
        <v>CO</v>
      </c>
      <c r="D876" s="12">
        <v>0</v>
      </c>
      <c r="J876" s="10">
        <f t="shared" si="27"/>
        <v>0</v>
      </c>
    </row>
    <row r="877" spans="1:10" x14ac:dyDescent="0.2">
      <c r="A877" s="4" t="s">
        <v>1268</v>
      </c>
      <c r="B877" s="4" t="s">
        <v>1002</v>
      </c>
      <c r="C877" s="17" t="str">
        <f t="shared" si="26"/>
        <v>CO</v>
      </c>
      <c r="D877" s="12">
        <v>0</v>
      </c>
      <c r="J877" s="10">
        <f t="shared" si="27"/>
        <v>0</v>
      </c>
    </row>
    <row r="878" spans="1:10" x14ac:dyDescent="0.2">
      <c r="A878" s="4" t="s">
        <v>1269</v>
      </c>
      <c r="B878" s="4" t="s">
        <v>1002</v>
      </c>
      <c r="C878" s="17" t="str">
        <f t="shared" si="26"/>
        <v>CO</v>
      </c>
      <c r="D878" s="12">
        <v>0</v>
      </c>
      <c r="J878" s="10">
        <f t="shared" si="27"/>
        <v>0</v>
      </c>
    </row>
    <row r="879" spans="1:10" x14ac:dyDescent="0.2">
      <c r="A879" s="4" t="s">
        <v>1270</v>
      </c>
      <c r="B879" s="4" t="s">
        <v>1002</v>
      </c>
      <c r="C879" s="17" t="str">
        <f t="shared" si="26"/>
        <v>CO</v>
      </c>
      <c r="D879" s="12">
        <v>0</v>
      </c>
      <c r="J879" s="10">
        <f t="shared" si="27"/>
        <v>0</v>
      </c>
    </row>
    <row r="880" spans="1:10" x14ac:dyDescent="0.2">
      <c r="A880" s="4" t="s">
        <v>1271</v>
      </c>
      <c r="B880" s="4" t="s">
        <v>1002</v>
      </c>
      <c r="C880" s="17" t="str">
        <f t="shared" si="26"/>
        <v>CO</v>
      </c>
      <c r="D880" s="12">
        <v>0</v>
      </c>
      <c r="J880" s="10">
        <f t="shared" si="27"/>
        <v>0</v>
      </c>
    </row>
    <row r="881" spans="1:10" x14ac:dyDescent="0.2">
      <c r="A881" s="4" t="s">
        <v>1272</v>
      </c>
      <c r="B881" s="4" t="s">
        <v>1002</v>
      </c>
      <c r="C881" s="17" t="str">
        <f t="shared" si="26"/>
        <v>CO</v>
      </c>
      <c r="D881" s="12">
        <v>0</v>
      </c>
      <c r="J881" s="10">
        <f t="shared" si="27"/>
        <v>0</v>
      </c>
    </row>
    <row r="882" spans="1:10" x14ac:dyDescent="0.2">
      <c r="A882" s="4" t="s">
        <v>1273</v>
      </c>
      <c r="B882" s="4" t="s">
        <v>1002</v>
      </c>
      <c r="C882" s="17" t="str">
        <f t="shared" si="26"/>
        <v>CO</v>
      </c>
      <c r="D882" s="12">
        <v>0</v>
      </c>
      <c r="J882" s="10">
        <f t="shared" si="27"/>
        <v>0</v>
      </c>
    </row>
    <row r="883" spans="1:10" x14ac:dyDescent="0.2">
      <c r="A883" s="4" t="s">
        <v>1274</v>
      </c>
      <c r="B883" s="4" t="s">
        <v>1002</v>
      </c>
      <c r="C883" s="17" t="str">
        <f t="shared" si="26"/>
        <v>CO</v>
      </c>
      <c r="D883" s="12">
        <v>0</v>
      </c>
      <c r="J883" s="10">
        <f t="shared" si="27"/>
        <v>0</v>
      </c>
    </row>
    <row r="884" spans="1:10" x14ac:dyDescent="0.2">
      <c r="A884" s="4" t="s">
        <v>1275</v>
      </c>
      <c r="B884" s="4" t="s">
        <v>1002</v>
      </c>
      <c r="C884" s="17" t="str">
        <f t="shared" si="26"/>
        <v>CO</v>
      </c>
      <c r="D884" s="12">
        <v>0</v>
      </c>
      <c r="J884" s="10">
        <f t="shared" si="27"/>
        <v>0</v>
      </c>
    </row>
    <row r="885" spans="1:10" x14ac:dyDescent="0.2">
      <c r="A885" s="4" t="s">
        <v>1276</v>
      </c>
      <c r="B885" s="4" t="s">
        <v>1002</v>
      </c>
      <c r="C885" s="17" t="str">
        <f t="shared" si="26"/>
        <v>CO</v>
      </c>
      <c r="D885" s="12">
        <v>0</v>
      </c>
      <c r="J885" s="10">
        <f t="shared" si="27"/>
        <v>0</v>
      </c>
    </row>
    <row r="886" spans="1:10" x14ac:dyDescent="0.2">
      <c r="A886" s="4" t="s">
        <v>1277</v>
      </c>
      <c r="B886" s="4" t="s">
        <v>1002</v>
      </c>
      <c r="C886" s="17" t="str">
        <f t="shared" si="26"/>
        <v>CO</v>
      </c>
      <c r="D886" s="12">
        <v>0</v>
      </c>
      <c r="J886" s="10">
        <f t="shared" si="27"/>
        <v>0</v>
      </c>
    </row>
    <row r="887" spans="1:10" x14ac:dyDescent="0.2">
      <c r="A887" s="4" t="s">
        <v>1278</v>
      </c>
      <c r="B887" s="4" t="s">
        <v>1002</v>
      </c>
      <c r="C887" s="17" t="str">
        <f t="shared" si="26"/>
        <v>CO</v>
      </c>
      <c r="D887" s="12">
        <v>0</v>
      </c>
      <c r="J887" s="10">
        <f t="shared" si="27"/>
        <v>0</v>
      </c>
    </row>
    <row r="888" spans="1:10" x14ac:dyDescent="0.2">
      <c r="A888" s="4" t="s">
        <v>1279</v>
      </c>
      <c r="B888" s="4" t="s">
        <v>1002</v>
      </c>
      <c r="C888" s="17" t="str">
        <f t="shared" si="26"/>
        <v>CO</v>
      </c>
      <c r="D888" s="12">
        <v>0</v>
      </c>
      <c r="J888" s="10">
        <f t="shared" si="27"/>
        <v>0</v>
      </c>
    </row>
    <row r="889" spans="1:10" x14ac:dyDescent="0.2">
      <c r="A889" s="4" t="s">
        <v>1280</v>
      </c>
      <c r="B889" s="4" t="s">
        <v>1002</v>
      </c>
      <c r="C889" s="17" t="str">
        <f t="shared" si="26"/>
        <v>CO</v>
      </c>
      <c r="D889" s="12">
        <v>0</v>
      </c>
      <c r="J889" s="10">
        <f t="shared" si="27"/>
        <v>0</v>
      </c>
    </row>
    <row r="890" spans="1:10" x14ac:dyDescent="0.2">
      <c r="A890" s="4" t="s">
        <v>1281</v>
      </c>
      <c r="B890" s="4" t="s">
        <v>1002</v>
      </c>
      <c r="C890" s="17" t="str">
        <f t="shared" si="26"/>
        <v>CO</v>
      </c>
      <c r="D890" s="12">
        <v>0</v>
      </c>
      <c r="J890" s="10">
        <f t="shared" si="27"/>
        <v>0</v>
      </c>
    </row>
    <row r="891" spans="1:10" x14ac:dyDescent="0.2">
      <c r="A891" s="4" t="s">
        <v>1282</v>
      </c>
      <c r="B891" s="4" t="s">
        <v>1002</v>
      </c>
      <c r="C891" s="17" t="str">
        <f t="shared" si="26"/>
        <v>CO</v>
      </c>
      <c r="D891" s="12">
        <v>0</v>
      </c>
      <c r="J891" s="10">
        <f t="shared" si="27"/>
        <v>0</v>
      </c>
    </row>
    <row r="892" spans="1:10" x14ac:dyDescent="0.2">
      <c r="A892" s="4" t="s">
        <v>1283</v>
      </c>
      <c r="B892" s="4" t="s">
        <v>1002</v>
      </c>
      <c r="C892" s="17" t="str">
        <f t="shared" si="26"/>
        <v>CO</v>
      </c>
      <c r="D892" s="12">
        <v>0</v>
      </c>
      <c r="J892" s="10">
        <f t="shared" si="27"/>
        <v>0</v>
      </c>
    </row>
    <row r="893" spans="1:10" x14ac:dyDescent="0.2">
      <c r="A893" s="4" t="s">
        <v>1284</v>
      </c>
      <c r="B893" s="4" t="s">
        <v>1002</v>
      </c>
      <c r="C893" s="17" t="str">
        <f t="shared" si="26"/>
        <v>CO</v>
      </c>
      <c r="D893" s="12">
        <v>0</v>
      </c>
      <c r="J893" s="10">
        <f t="shared" si="27"/>
        <v>0</v>
      </c>
    </row>
    <row r="894" spans="1:10" x14ac:dyDescent="0.2">
      <c r="A894" s="4" t="s">
        <v>1285</v>
      </c>
      <c r="B894" s="4" t="s">
        <v>1002</v>
      </c>
      <c r="C894" s="17" t="str">
        <f t="shared" si="26"/>
        <v>CO</v>
      </c>
      <c r="D894" s="12">
        <v>0</v>
      </c>
      <c r="J894" s="10">
        <f t="shared" si="27"/>
        <v>0</v>
      </c>
    </row>
    <row r="895" spans="1:10" x14ac:dyDescent="0.2">
      <c r="A895" s="4" t="s">
        <v>1286</v>
      </c>
      <c r="B895" s="4" t="s">
        <v>1002</v>
      </c>
      <c r="C895" s="17" t="str">
        <f t="shared" si="26"/>
        <v>CO</v>
      </c>
      <c r="D895" s="12">
        <v>0</v>
      </c>
      <c r="J895" s="10">
        <f t="shared" si="27"/>
        <v>0</v>
      </c>
    </row>
    <row r="896" spans="1:10" x14ac:dyDescent="0.2">
      <c r="A896" s="4" t="s">
        <v>1287</v>
      </c>
      <c r="B896" s="4" t="s">
        <v>1002</v>
      </c>
      <c r="C896" s="17" t="str">
        <f t="shared" si="26"/>
        <v>CO</v>
      </c>
      <c r="D896" s="12">
        <v>0</v>
      </c>
      <c r="J896" s="10">
        <f t="shared" si="27"/>
        <v>0</v>
      </c>
    </row>
    <row r="897" spans="1:10" x14ac:dyDescent="0.2">
      <c r="A897" s="4" t="s">
        <v>1288</v>
      </c>
      <c r="B897" s="4" t="s">
        <v>1002</v>
      </c>
      <c r="C897" s="17" t="str">
        <f t="shared" si="26"/>
        <v>CO</v>
      </c>
      <c r="D897" s="12">
        <v>0</v>
      </c>
      <c r="J897" s="10">
        <f t="shared" si="27"/>
        <v>0</v>
      </c>
    </row>
    <row r="898" spans="1:10" x14ac:dyDescent="0.2">
      <c r="A898" s="4" t="s">
        <v>1289</v>
      </c>
      <c r="B898" s="4" t="s">
        <v>1002</v>
      </c>
      <c r="C898" s="17" t="str">
        <f t="shared" ref="C898:C961" si="28">VLOOKUP(B898, quota_order_numbers2, 6, FALSE)</f>
        <v>CO</v>
      </c>
      <c r="D898" s="12">
        <v>0</v>
      </c>
      <c r="J898" s="10">
        <f t="shared" ref="J898:J961" si="29">VLOOKUP(B898, quota_order_numbers2, 2, FALSE)</f>
        <v>0</v>
      </c>
    </row>
    <row r="899" spans="1:10" x14ac:dyDescent="0.2">
      <c r="A899" s="4" t="s">
        <v>1290</v>
      </c>
      <c r="B899" s="4" t="s">
        <v>1002</v>
      </c>
      <c r="C899" s="17" t="str">
        <f t="shared" si="28"/>
        <v>CO</v>
      </c>
      <c r="D899" s="12">
        <v>0</v>
      </c>
      <c r="J899" s="10">
        <f t="shared" si="29"/>
        <v>0</v>
      </c>
    </row>
    <row r="900" spans="1:10" x14ac:dyDescent="0.2">
      <c r="A900" s="4" t="s">
        <v>1291</v>
      </c>
      <c r="B900" s="4" t="s">
        <v>1002</v>
      </c>
      <c r="C900" s="17" t="str">
        <f t="shared" si="28"/>
        <v>CO</v>
      </c>
      <c r="D900" s="12">
        <v>0</v>
      </c>
      <c r="J900" s="10">
        <f t="shared" si="29"/>
        <v>0</v>
      </c>
    </row>
    <row r="901" spans="1:10" x14ac:dyDescent="0.2">
      <c r="A901" s="4" t="s">
        <v>1292</v>
      </c>
      <c r="B901" s="4" t="s">
        <v>1002</v>
      </c>
      <c r="C901" s="17" t="str">
        <f t="shared" si="28"/>
        <v>CO</v>
      </c>
      <c r="D901" s="12">
        <v>0</v>
      </c>
      <c r="J901" s="10">
        <f t="shared" si="29"/>
        <v>0</v>
      </c>
    </row>
    <row r="902" spans="1:10" x14ac:dyDescent="0.2">
      <c r="A902" s="4" t="s">
        <v>1293</v>
      </c>
      <c r="B902" s="4" t="s">
        <v>1002</v>
      </c>
      <c r="C902" s="17" t="str">
        <f t="shared" si="28"/>
        <v>CO</v>
      </c>
      <c r="D902" s="12">
        <v>0</v>
      </c>
      <c r="J902" s="10">
        <f t="shared" si="29"/>
        <v>0</v>
      </c>
    </row>
    <row r="903" spans="1:10" x14ac:dyDescent="0.2">
      <c r="A903" s="4" t="s">
        <v>1294</v>
      </c>
      <c r="B903" s="4" t="s">
        <v>1002</v>
      </c>
      <c r="C903" s="17" t="str">
        <f t="shared" si="28"/>
        <v>CO</v>
      </c>
      <c r="D903" s="12">
        <v>0</v>
      </c>
      <c r="J903" s="10">
        <f t="shared" si="29"/>
        <v>0</v>
      </c>
    </row>
    <row r="904" spans="1:10" x14ac:dyDescent="0.2">
      <c r="A904" s="4" t="s">
        <v>1295</v>
      </c>
      <c r="B904" s="4" t="s">
        <v>1002</v>
      </c>
      <c r="C904" s="17" t="str">
        <f t="shared" si="28"/>
        <v>CO</v>
      </c>
      <c r="D904" s="12">
        <v>0</v>
      </c>
      <c r="J904" s="10">
        <f t="shared" si="29"/>
        <v>0</v>
      </c>
    </row>
    <row r="905" spans="1:10" x14ac:dyDescent="0.2">
      <c r="A905" s="4" t="s">
        <v>1296</v>
      </c>
      <c r="B905" s="4" t="s">
        <v>1002</v>
      </c>
      <c r="C905" s="17" t="str">
        <f t="shared" si="28"/>
        <v>CO</v>
      </c>
      <c r="D905" s="12">
        <v>0</v>
      </c>
      <c r="J905" s="10">
        <f t="shared" si="29"/>
        <v>0</v>
      </c>
    </row>
    <row r="906" spans="1:10" x14ac:dyDescent="0.2">
      <c r="A906" s="4" t="s">
        <v>610</v>
      </c>
      <c r="B906" s="4" t="s">
        <v>1002</v>
      </c>
      <c r="C906" s="17" t="str">
        <f t="shared" si="28"/>
        <v>CO</v>
      </c>
      <c r="D906" s="12">
        <v>0</v>
      </c>
      <c r="J906" s="10">
        <f t="shared" si="29"/>
        <v>0</v>
      </c>
    </row>
    <row r="907" spans="1:10" x14ac:dyDescent="0.2">
      <c r="A907" s="4" t="s">
        <v>1297</v>
      </c>
      <c r="B907" s="4" t="s">
        <v>1002</v>
      </c>
      <c r="C907" s="17" t="str">
        <f t="shared" si="28"/>
        <v>CO</v>
      </c>
      <c r="D907" s="12">
        <v>0</v>
      </c>
      <c r="J907" s="10">
        <f t="shared" si="29"/>
        <v>0</v>
      </c>
    </row>
    <row r="908" spans="1:10" x14ac:dyDescent="0.2">
      <c r="A908" s="4" t="s">
        <v>1298</v>
      </c>
      <c r="B908" s="4" t="s">
        <v>1002</v>
      </c>
      <c r="C908" s="17" t="str">
        <f t="shared" si="28"/>
        <v>CO</v>
      </c>
      <c r="D908" s="12">
        <v>0</v>
      </c>
      <c r="J908" s="10">
        <f t="shared" si="29"/>
        <v>0</v>
      </c>
    </row>
    <row r="909" spans="1:10" x14ac:dyDescent="0.2">
      <c r="A909" s="4" t="s">
        <v>1299</v>
      </c>
      <c r="B909" s="4" t="s">
        <v>1002</v>
      </c>
      <c r="C909" s="17" t="str">
        <f t="shared" si="28"/>
        <v>CO</v>
      </c>
      <c r="D909" s="12">
        <v>0</v>
      </c>
      <c r="J909" s="10">
        <f t="shared" si="29"/>
        <v>0</v>
      </c>
    </row>
    <row r="910" spans="1:10" x14ac:dyDescent="0.2">
      <c r="A910" s="4" t="s">
        <v>1300</v>
      </c>
      <c r="B910" s="4" t="s">
        <v>1002</v>
      </c>
      <c r="C910" s="17" t="str">
        <f t="shared" si="28"/>
        <v>CO</v>
      </c>
      <c r="D910" s="12">
        <v>0</v>
      </c>
      <c r="J910" s="10">
        <f t="shared" si="29"/>
        <v>0</v>
      </c>
    </row>
    <row r="911" spans="1:10" x14ac:dyDescent="0.2">
      <c r="A911" s="4" t="s">
        <v>1301</v>
      </c>
      <c r="B911" s="4" t="s">
        <v>1002</v>
      </c>
      <c r="C911" s="17" t="str">
        <f t="shared" si="28"/>
        <v>CO</v>
      </c>
      <c r="D911" s="12">
        <v>0</v>
      </c>
      <c r="J911" s="10">
        <f t="shared" si="29"/>
        <v>0</v>
      </c>
    </row>
    <row r="912" spans="1:10" x14ac:dyDescent="0.2">
      <c r="A912" s="4" t="s">
        <v>1302</v>
      </c>
      <c r="B912" s="4" t="s">
        <v>1002</v>
      </c>
      <c r="C912" s="17" t="str">
        <f t="shared" si="28"/>
        <v>CO</v>
      </c>
      <c r="D912" s="12">
        <v>0</v>
      </c>
      <c r="J912" s="10">
        <f t="shared" si="29"/>
        <v>0</v>
      </c>
    </row>
    <row r="913" spans="1:10" x14ac:dyDescent="0.2">
      <c r="A913" s="4" t="s">
        <v>1303</v>
      </c>
      <c r="B913" s="4" t="s">
        <v>1002</v>
      </c>
      <c r="C913" s="17" t="str">
        <f t="shared" si="28"/>
        <v>CO</v>
      </c>
      <c r="D913" s="12">
        <v>0</v>
      </c>
      <c r="J913" s="10">
        <f t="shared" si="29"/>
        <v>0</v>
      </c>
    </row>
    <row r="914" spans="1:10" x14ac:dyDescent="0.2">
      <c r="A914" s="4" t="s">
        <v>1304</v>
      </c>
      <c r="B914" s="4" t="s">
        <v>1002</v>
      </c>
      <c r="C914" s="17" t="str">
        <f t="shared" si="28"/>
        <v>CO</v>
      </c>
      <c r="D914" s="12">
        <v>0</v>
      </c>
      <c r="J914" s="10">
        <f t="shared" si="29"/>
        <v>0</v>
      </c>
    </row>
    <row r="915" spans="1:10" x14ac:dyDescent="0.2">
      <c r="A915" s="4" t="s">
        <v>1305</v>
      </c>
      <c r="B915" s="4" t="s">
        <v>1002</v>
      </c>
      <c r="C915" s="17" t="str">
        <f t="shared" si="28"/>
        <v>CO</v>
      </c>
      <c r="D915" s="12">
        <v>0</v>
      </c>
      <c r="J915" s="10">
        <f t="shared" si="29"/>
        <v>0</v>
      </c>
    </row>
    <row r="916" spans="1:10" x14ac:dyDescent="0.2">
      <c r="A916" s="4" t="s">
        <v>1306</v>
      </c>
      <c r="B916" s="4" t="s">
        <v>1002</v>
      </c>
      <c r="C916" s="17" t="str">
        <f t="shared" si="28"/>
        <v>CO</v>
      </c>
      <c r="D916" s="12">
        <v>0</v>
      </c>
      <c r="J916" s="10">
        <f t="shared" si="29"/>
        <v>0</v>
      </c>
    </row>
    <row r="917" spans="1:10" x14ac:dyDescent="0.2">
      <c r="A917" s="4" t="s">
        <v>1307</v>
      </c>
      <c r="B917" s="4" t="s">
        <v>1002</v>
      </c>
      <c r="C917" s="17" t="str">
        <f t="shared" si="28"/>
        <v>CO</v>
      </c>
      <c r="D917" s="12">
        <v>0</v>
      </c>
      <c r="J917" s="10">
        <f t="shared" si="29"/>
        <v>0</v>
      </c>
    </row>
    <row r="918" spans="1:10" x14ac:dyDescent="0.2">
      <c r="A918" s="4" t="s">
        <v>1308</v>
      </c>
      <c r="B918" s="4" t="s">
        <v>1002</v>
      </c>
      <c r="C918" s="17" t="str">
        <f t="shared" si="28"/>
        <v>CO</v>
      </c>
      <c r="D918" s="12">
        <v>0</v>
      </c>
      <c r="J918" s="10">
        <f t="shared" si="29"/>
        <v>0</v>
      </c>
    </row>
    <row r="919" spans="1:10" x14ac:dyDescent="0.2">
      <c r="A919" s="4" t="s">
        <v>1309</v>
      </c>
      <c r="B919" s="4" t="s">
        <v>1002</v>
      </c>
      <c r="C919" s="17" t="str">
        <f t="shared" si="28"/>
        <v>CO</v>
      </c>
      <c r="D919" s="12">
        <v>0</v>
      </c>
      <c r="J919" s="10">
        <f t="shared" si="29"/>
        <v>0</v>
      </c>
    </row>
    <row r="920" spans="1:10" x14ac:dyDescent="0.2">
      <c r="A920" s="4" t="s">
        <v>1310</v>
      </c>
      <c r="B920" s="4" t="s">
        <v>1003</v>
      </c>
      <c r="C920" s="17" t="str">
        <f t="shared" si="28"/>
        <v>CO</v>
      </c>
      <c r="D920" s="12">
        <v>0</v>
      </c>
      <c r="J920" s="10">
        <f t="shared" si="29"/>
        <v>0</v>
      </c>
    </row>
    <row r="921" spans="1:10" x14ac:dyDescent="0.2">
      <c r="A921" s="4" t="s">
        <v>1212</v>
      </c>
      <c r="B921" s="4" t="s">
        <v>961</v>
      </c>
      <c r="C921" s="17" t="str">
        <f t="shared" si="28"/>
        <v>EC</v>
      </c>
      <c r="D921" s="12">
        <v>0</v>
      </c>
      <c r="J921" s="10">
        <f t="shared" si="29"/>
        <v>0</v>
      </c>
    </row>
    <row r="922" spans="1:10" x14ac:dyDescent="0.2">
      <c r="A922" s="4" t="s">
        <v>1213</v>
      </c>
      <c r="B922" s="4" t="s">
        <v>962</v>
      </c>
      <c r="C922" s="17" t="str">
        <f t="shared" si="28"/>
        <v>EC</v>
      </c>
      <c r="D922" s="12">
        <v>0</v>
      </c>
      <c r="J922" s="10">
        <f t="shared" si="29"/>
        <v>0</v>
      </c>
    </row>
    <row r="923" spans="1:10" x14ac:dyDescent="0.2">
      <c r="A923" s="4" t="s">
        <v>1214</v>
      </c>
      <c r="B923" s="4" t="s">
        <v>963</v>
      </c>
      <c r="C923" s="17" t="str">
        <f t="shared" si="28"/>
        <v>EC</v>
      </c>
      <c r="D923" s="12">
        <v>0</v>
      </c>
      <c r="J923" s="10">
        <f t="shared" si="29"/>
        <v>0</v>
      </c>
    </row>
    <row r="924" spans="1:10" x14ac:dyDescent="0.2">
      <c r="A924" s="4" t="s">
        <v>1215</v>
      </c>
      <c r="B924" s="4" t="s">
        <v>964</v>
      </c>
      <c r="C924" s="17" t="str">
        <f t="shared" si="28"/>
        <v>EC</v>
      </c>
      <c r="D924" s="12">
        <v>0</v>
      </c>
      <c r="J924" s="10">
        <f t="shared" si="29"/>
        <v>0</v>
      </c>
    </row>
    <row r="925" spans="1:10" x14ac:dyDescent="0.2">
      <c r="A925" s="4" t="s">
        <v>1216</v>
      </c>
      <c r="B925" s="4" t="s">
        <v>965</v>
      </c>
      <c r="C925" s="17" t="str">
        <f t="shared" si="28"/>
        <v>EC</v>
      </c>
      <c r="D925" s="12">
        <v>0</v>
      </c>
      <c r="J925" s="10">
        <f t="shared" si="29"/>
        <v>0</v>
      </c>
    </row>
    <row r="926" spans="1:10" x14ac:dyDescent="0.2">
      <c r="A926" s="4" t="s">
        <v>1217</v>
      </c>
      <c r="B926" s="4" t="s">
        <v>966</v>
      </c>
      <c r="C926" s="17" t="str">
        <f t="shared" si="28"/>
        <v>EC</v>
      </c>
      <c r="D926" s="12">
        <v>0</v>
      </c>
      <c r="J926" s="10">
        <f t="shared" si="29"/>
        <v>0</v>
      </c>
    </row>
    <row r="927" spans="1:10" x14ac:dyDescent="0.2">
      <c r="A927" s="4" t="s">
        <v>1218</v>
      </c>
      <c r="B927" s="4" t="s">
        <v>967</v>
      </c>
      <c r="C927" s="17" t="str">
        <f t="shared" si="28"/>
        <v>EC</v>
      </c>
      <c r="D927" s="12">
        <v>0</v>
      </c>
      <c r="J927" s="10">
        <f t="shared" si="29"/>
        <v>0</v>
      </c>
    </row>
    <row r="928" spans="1:10" x14ac:dyDescent="0.2">
      <c r="A928" s="4" t="s">
        <v>1219</v>
      </c>
      <c r="B928" s="4" t="s">
        <v>968</v>
      </c>
      <c r="C928" s="17" t="str">
        <f t="shared" si="28"/>
        <v>EC</v>
      </c>
      <c r="D928" s="12">
        <v>0</v>
      </c>
      <c r="J928" s="10">
        <f t="shared" si="29"/>
        <v>0</v>
      </c>
    </row>
    <row r="929" spans="1:10" x14ac:dyDescent="0.2">
      <c r="A929" s="4" t="s">
        <v>1220</v>
      </c>
      <c r="B929" s="4" t="s">
        <v>969</v>
      </c>
      <c r="C929" s="17" t="str">
        <f t="shared" si="28"/>
        <v>EC</v>
      </c>
      <c r="D929" s="12">
        <v>0</v>
      </c>
      <c r="J929" s="10">
        <f t="shared" si="29"/>
        <v>0</v>
      </c>
    </row>
    <row r="930" spans="1:10" x14ac:dyDescent="0.2">
      <c r="A930" s="4" t="s">
        <v>1221</v>
      </c>
      <c r="B930" s="4" t="s">
        <v>970</v>
      </c>
      <c r="C930" s="17" t="str">
        <f t="shared" si="28"/>
        <v>EC</v>
      </c>
      <c r="D930" s="12">
        <v>0</v>
      </c>
      <c r="J930" s="10">
        <f t="shared" si="29"/>
        <v>0</v>
      </c>
    </row>
    <row r="931" spans="1:10" x14ac:dyDescent="0.2">
      <c r="A931" s="4" t="s">
        <v>1222</v>
      </c>
      <c r="B931" s="4" t="s">
        <v>971</v>
      </c>
      <c r="C931" s="17" t="str">
        <f t="shared" si="28"/>
        <v>EC</v>
      </c>
      <c r="D931" s="12">
        <v>0</v>
      </c>
      <c r="J931" s="10">
        <f t="shared" si="29"/>
        <v>0</v>
      </c>
    </row>
    <row r="932" spans="1:10" x14ac:dyDescent="0.2">
      <c r="A932" s="4" t="s">
        <v>1223</v>
      </c>
      <c r="B932" s="4" t="s">
        <v>972</v>
      </c>
      <c r="C932" s="17" t="str">
        <f t="shared" si="28"/>
        <v>EC</v>
      </c>
      <c r="D932" s="12">
        <v>0</v>
      </c>
      <c r="J932" s="10">
        <f t="shared" si="29"/>
        <v>0</v>
      </c>
    </row>
    <row r="933" spans="1:10" x14ac:dyDescent="0.2">
      <c r="A933" s="4" t="s">
        <v>425</v>
      </c>
      <c r="B933" s="4" t="s">
        <v>973</v>
      </c>
      <c r="C933" s="17" t="str">
        <f t="shared" si="28"/>
        <v>EC</v>
      </c>
      <c r="D933" s="12">
        <v>0</v>
      </c>
      <c r="J933" s="10">
        <f t="shared" si="29"/>
        <v>0</v>
      </c>
    </row>
    <row r="934" spans="1:10" x14ac:dyDescent="0.2">
      <c r="A934" s="4" t="s">
        <v>580</v>
      </c>
      <c r="B934" s="4" t="s">
        <v>974</v>
      </c>
      <c r="C934" s="17" t="str">
        <f t="shared" si="28"/>
        <v>EC</v>
      </c>
      <c r="D934" s="12">
        <v>0</v>
      </c>
      <c r="J934" s="10">
        <f t="shared" si="29"/>
        <v>0</v>
      </c>
    </row>
    <row r="935" spans="1:10" x14ac:dyDescent="0.2">
      <c r="A935" s="4" t="s">
        <v>581</v>
      </c>
      <c r="B935" s="4" t="s">
        <v>974</v>
      </c>
      <c r="C935" s="17" t="str">
        <f t="shared" si="28"/>
        <v>EC</v>
      </c>
      <c r="D935" s="12">
        <v>0</v>
      </c>
      <c r="J935" s="10">
        <f t="shared" si="29"/>
        <v>0</v>
      </c>
    </row>
    <row r="936" spans="1:10" x14ac:dyDescent="0.2">
      <c r="A936" s="4" t="s">
        <v>584</v>
      </c>
      <c r="B936" s="4" t="s">
        <v>974</v>
      </c>
      <c r="C936" s="17" t="str">
        <f t="shared" si="28"/>
        <v>EC</v>
      </c>
      <c r="D936" s="12">
        <v>0</v>
      </c>
      <c r="J936" s="10">
        <f t="shared" si="29"/>
        <v>0</v>
      </c>
    </row>
    <row r="937" spans="1:10" x14ac:dyDescent="0.2">
      <c r="A937" s="4" t="s">
        <v>1224</v>
      </c>
      <c r="B937" s="4" t="s">
        <v>975</v>
      </c>
      <c r="C937" s="17" t="str">
        <f t="shared" si="28"/>
        <v>EC</v>
      </c>
      <c r="D937" s="12">
        <v>0</v>
      </c>
      <c r="J937" s="10">
        <f t="shared" si="29"/>
        <v>0</v>
      </c>
    </row>
    <row r="938" spans="1:10" x14ac:dyDescent="0.2">
      <c r="A938" s="4" t="s">
        <v>427</v>
      </c>
      <c r="B938" s="4" t="s">
        <v>975</v>
      </c>
      <c r="C938" s="17" t="str">
        <f t="shared" si="28"/>
        <v>EC</v>
      </c>
      <c r="D938" s="12">
        <v>0</v>
      </c>
      <c r="J938" s="10">
        <f t="shared" si="29"/>
        <v>0</v>
      </c>
    </row>
    <row r="939" spans="1:10" x14ac:dyDescent="0.2">
      <c r="A939" s="4" t="s">
        <v>428</v>
      </c>
      <c r="B939" s="4" t="s">
        <v>975</v>
      </c>
      <c r="C939" s="17" t="str">
        <f t="shared" si="28"/>
        <v>EC</v>
      </c>
      <c r="D939" s="12">
        <v>0</v>
      </c>
      <c r="J939" s="10">
        <f t="shared" si="29"/>
        <v>0</v>
      </c>
    </row>
    <row r="940" spans="1:10" x14ac:dyDescent="0.2">
      <c r="A940" s="4" t="s">
        <v>582</v>
      </c>
      <c r="B940" s="4" t="s">
        <v>976</v>
      </c>
      <c r="C940" s="17" t="str">
        <f t="shared" si="28"/>
        <v>EC</v>
      </c>
      <c r="D940" s="12">
        <v>0</v>
      </c>
      <c r="J940" s="10">
        <f t="shared" si="29"/>
        <v>0</v>
      </c>
    </row>
    <row r="941" spans="1:10" x14ac:dyDescent="0.2">
      <c r="A941" s="4" t="s">
        <v>583</v>
      </c>
      <c r="B941" s="4" t="s">
        <v>976</v>
      </c>
      <c r="C941" s="17" t="str">
        <f t="shared" si="28"/>
        <v>EC</v>
      </c>
      <c r="D941" s="12">
        <v>0</v>
      </c>
      <c r="J941" s="10">
        <f t="shared" si="29"/>
        <v>0</v>
      </c>
    </row>
    <row r="942" spans="1:10" x14ac:dyDescent="0.2">
      <c r="A942" s="4" t="s">
        <v>1228</v>
      </c>
      <c r="B942" s="4" t="s">
        <v>976</v>
      </c>
      <c r="C942" s="17" t="str">
        <f t="shared" si="28"/>
        <v>EC</v>
      </c>
      <c r="D942" s="12">
        <v>0</v>
      </c>
      <c r="J942" s="10">
        <f t="shared" si="29"/>
        <v>0</v>
      </c>
    </row>
    <row r="943" spans="1:10" x14ac:dyDescent="0.2">
      <c r="A943" s="4" t="s">
        <v>1311</v>
      </c>
      <c r="B943" s="4" t="s">
        <v>977</v>
      </c>
      <c r="C943" s="17" t="str">
        <f t="shared" si="28"/>
        <v>EC</v>
      </c>
      <c r="D943" s="12">
        <v>0</v>
      </c>
      <c r="J943" s="10">
        <f t="shared" si="29"/>
        <v>0</v>
      </c>
    </row>
    <row r="944" spans="1:10" x14ac:dyDescent="0.2">
      <c r="A944" s="4" t="s">
        <v>1312</v>
      </c>
      <c r="B944" s="4" t="s">
        <v>977</v>
      </c>
      <c r="C944" s="17" t="str">
        <f t="shared" si="28"/>
        <v>EC</v>
      </c>
      <c r="D944" s="12">
        <v>0</v>
      </c>
      <c r="J944" s="10">
        <f t="shared" si="29"/>
        <v>0</v>
      </c>
    </row>
    <row r="945" spans="1:10" x14ac:dyDescent="0.2">
      <c r="A945" s="4" t="s">
        <v>1313</v>
      </c>
      <c r="B945" s="4" t="s">
        <v>978</v>
      </c>
      <c r="C945" s="17" t="str">
        <f t="shared" si="28"/>
        <v>EC</v>
      </c>
      <c r="D945" s="12">
        <v>0</v>
      </c>
      <c r="J945" s="10">
        <f t="shared" si="29"/>
        <v>0</v>
      </c>
    </row>
    <row r="946" spans="1:10" x14ac:dyDescent="0.2">
      <c r="A946" s="4" t="s">
        <v>1314</v>
      </c>
      <c r="B946" s="4" t="s">
        <v>978</v>
      </c>
      <c r="C946" s="17" t="str">
        <f t="shared" si="28"/>
        <v>EC</v>
      </c>
      <c r="D946" s="12">
        <v>0</v>
      </c>
      <c r="J946" s="10">
        <f t="shared" si="29"/>
        <v>0</v>
      </c>
    </row>
    <row r="947" spans="1:10" x14ac:dyDescent="0.2">
      <c r="A947" s="4" t="s">
        <v>1315</v>
      </c>
      <c r="B947" s="4" t="s">
        <v>978</v>
      </c>
      <c r="C947" s="17" t="str">
        <f t="shared" si="28"/>
        <v>EC</v>
      </c>
      <c r="D947" s="12">
        <v>0</v>
      </c>
      <c r="J947" s="10">
        <f t="shared" si="29"/>
        <v>0</v>
      </c>
    </row>
    <row r="948" spans="1:10" x14ac:dyDescent="0.2">
      <c r="A948" s="4" t="s">
        <v>1316</v>
      </c>
      <c r="B948" s="4" t="s">
        <v>978</v>
      </c>
      <c r="C948" s="17" t="str">
        <f t="shared" si="28"/>
        <v>EC</v>
      </c>
      <c r="D948" s="12">
        <v>0</v>
      </c>
      <c r="J948" s="10">
        <f t="shared" si="29"/>
        <v>0</v>
      </c>
    </row>
    <row r="949" spans="1:10" x14ac:dyDescent="0.2">
      <c r="A949" s="4" t="s">
        <v>1317</v>
      </c>
      <c r="B949" s="4" t="s">
        <v>978</v>
      </c>
      <c r="C949" s="17" t="str">
        <f t="shared" si="28"/>
        <v>EC</v>
      </c>
      <c r="D949" s="12">
        <v>0</v>
      </c>
      <c r="J949" s="10">
        <f t="shared" si="29"/>
        <v>0</v>
      </c>
    </row>
    <row r="950" spans="1:10" x14ac:dyDescent="0.2">
      <c r="A950" s="4" t="s">
        <v>1318</v>
      </c>
      <c r="B950" s="4" t="s">
        <v>978</v>
      </c>
      <c r="C950" s="17" t="str">
        <f t="shared" si="28"/>
        <v>EC</v>
      </c>
      <c r="D950" s="12">
        <v>0</v>
      </c>
      <c r="J950" s="10">
        <f t="shared" si="29"/>
        <v>0</v>
      </c>
    </row>
    <row r="951" spans="1:10" x14ac:dyDescent="0.2">
      <c r="A951" s="4" t="s">
        <v>1319</v>
      </c>
      <c r="B951" s="4" t="s">
        <v>978</v>
      </c>
      <c r="C951" s="17" t="str">
        <f t="shared" si="28"/>
        <v>EC</v>
      </c>
      <c r="D951" s="12">
        <v>0</v>
      </c>
      <c r="J951" s="10">
        <f t="shared" si="29"/>
        <v>0</v>
      </c>
    </row>
    <row r="952" spans="1:10" x14ac:dyDescent="0.2">
      <c r="A952" s="4" t="s">
        <v>1320</v>
      </c>
      <c r="B952" s="4" t="s">
        <v>979</v>
      </c>
      <c r="C952" s="17" t="str">
        <f t="shared" si="28"/>
        <v>EC</v>
      </c>
      <c r="D952" s="12">
        <v>0</v>
      </c>
      <c r="J952" s="10">
        <f t="shared" si="29"/>
        <v>0</v>
      </c>
    </row>
    <row r="953" spans="1:10" x14ac:dyDescent="0.2">
      <c r="A953" s="4" t="s">
        <v>1229</v>
      </c>
      <c r="B953" s="4" t="s">
        <v>980</v>
      </c>
      <c r="C953" s="17" t="str">
        <f t="shared" si="28"/>
        <v>EC</v>
      </c>
      <c r="D953" s="12">
        <v>0</v>
      </c>
      <c r="J953" s="10">
        <f t="shared" si="29"/>
        <v>0</v>
      </c>
    </row>
    <row r="954" spans="1:10" x14ac:dyDescent="0.2">
      <c r="A954" s="4" t="s">
        <v>1230</v>
      </c>
      <c r="B954" s="4" t="s">
        <v>980</v>
      </c>
      <c r="C954" s="17" t="str">
        <f t="shared" si="28"/>
        <v>EC</v>
      </c>
      <c r="D954" s="12">
        <v>0</v>
      </c>
      <c r="J954" s="10">
        <f t="shared" si="29"/>
        <v>0</v>
      </c>
    </row>
    <row r="955" spans="1:10" x14ac:dyDescent="0.2">
      <c r="A955" s="4" t="s">
        <v>1231</v>
      </c>
      <c r="B955" s="4" t="s">
        <v>981</v>
      </c>
      <c r="C955" s="17" t="str">
        <f t="shared" si="28"/>
        <v>EC</v>
      </c>
      <c r="D955" s="12">
        <v>0</v>
      </c>
      <c r="J955" s="10">
        <f t="shared" si="29"/>
        <v>0</v>
      </c>
    </row>
    <row r="956" spans="1:10" x14ac:dyDescent="0.2">
      <c r="A956" s="4" t="s">
        <v>1232</v>
      </c>
      <c r="B956" s="4" t="s">
        <v>981</v>
      </c>
      <c r="C956" s="17" t="str">
        <f t="shared" si="28"/>
        <v>EC</v>
      </c>
      <c r="D956" s="12">
        <v>0</v>
      </c>
      <c r="J956" s="10">
        <f t="shared" si="29"/>
        <v>0</v>
      </c>
    </row>
    <row r="957" spans="1:10" x14ac:dyDescent="0.2">
      <c r="A957" s="4" t="s">
        <v>1321</v>
      </c>
      <c r="B957" s="4" t="s">
        <v>981</v>
      </c>
      <c r="C957" s="17" t="str">
        <f t="shared" si="28"/>
        <v>EC</v>
      </c>
      <c r="D957" s="12">
        <v>0</v>
      </c>
      <c r="J957" s="10">
        <f t="shared" si="29"/>
        <v>0</v>
      </c>
    </row>
    <row r="958" spans="1:10" x14ac:dyDescent="0.2">
      <c r="A958" s="4" t="s">
        <v>1322</v>
      </c>
      <c r="B958" s="4" t="s">
        <v>981</v>
      </c>
      <c r="C958" s="17" t="str">
        <f t="shared" si="28"/>
        <v>EC</v>
      </c>
      <c r="D958" s="12">
        <v>0</v>
      </c>
      <c r="J958" s="10">
        <f t="shared" si="29"/>
        <v>0</v>
      </c>
    </row>
    <row r="959" spans="1:10" x14ac:dyDescent="0.2">
      <c r="A959" s="4" t="s">
        <v>960</v>
      </c>
      <c r="B959" s="4" t="s">
        <v>981</v>
      </c>
      <c r="C959" s="17" t="str">
        <f t="shared" si="28"/>
        <v>EC</v>
      </c>
      <c r="D959" s="12">
        <v>0</v>
      </c>
      <c r="J959" s="10">
        <f t="shared" si="29"/>
        <v>0</v>
      </c>
    </row>
    <row r="960" spans="1:10" x14ac:dyDescent="0.2">
      <c r="A960" s="4" t="s">
        <v>1323</v>
      </c>
      <c r="B960" s="4" t="s">
        <v>981</v>
      </c>
      <c r="C960" s="17" t="str">
        <f t="shared" si="28"/>
        <v>EC</v>
      </c>
      <c r="D960" s="12">
        <v>0</v>
      </c>
      <c r="J960" s="10">
        <f t="shared" si="29"/>
        <v>0</v>
      </c>
    </row>
    <row r="961" spans="1:10" x14ac:dyDescent="0.2">
      <c r="A961" s="4" t="s">
        <v>1324</v>
      </c>
      <c r="B961" s="4" t="s">
        <v>981</v>
      </c>
      <c r="C961" s="17" t="str">
        <f t="shared" si="28"/>
        <v>EC</v>
      </c>
      <c r="D961" s="12">
        <v>0</v>
      </c>
      <c r="J961" s="10">
        <f t="shared" si="29"/>
        <v>0</v>
      </c>
    </row>
    <row r="962" spans="1:10" x14ac:dyDescent="0.2">
      <c r="A962" s="4" t="s">
        <v>1325</v>
      </c>
      <c r="B962" s="4" t="s">
        <v>981</v>
      </c>
      <c r="C962" s="17" t="str">
        <f t="shared" ref="C962:C1025" si="30">VLOOKUP(B962, quota_order_numbers2, 6, FALSE)</f>
        <v>EC</v>
      </c>
      <c r="D962" s="12">
        <v>0</v>
      </c>
      <c r="J962" s="10">
        <f t="shared" ref="J962:J1025" si="31">VLOOKUP(B962, quota_order_numbers2, 2, FALSE)</f>
        <v>0</v>
      </c>
    </row>
    <row r="963" spans="1:10" x14ac:dyDescent="0.2">
      <c r="A963" s="4" t="s">
        <v>1326</v>
      </c>
      <c r="B963" s="4" t="s">
        <v>981</v>
      </c>
      <c r="C963" s="17" t="str">
        <f t="shared" si="30"/>
        <v>EC</v>
      </c>
      <c r="D963" s="12">
        <v>0</v>
      </c>
      <c r="J963" s="10">
        <f t="shared" si="31"/>
        <v>0</v>
      </c>
    </row>
    <row r="964" spans="1:10" x14ac:dyDescent="0.2">
      <c r="A964" s="4" t="s">
        <v>1327</v>
      </c>
      <c r="B964" s="4" t="s">
        <v>981</v>
      </c>
      <c r="C964" s="17" t="str">
        <f t="shared" si="30"/>
        <v>EC</v>
      </c>
      <c r="D964" s="12">
        <v>0</v>
      </c>
      <c r="J964" s="10">
        <f t="shared" si="31"/>
        <v>0</v>
      </c>
    </row>
    <row r="965" spans="1:10" x14ac:dyDescent="0.2">
      <c r="A965" s="4" t="s">
        <v>1328</v>
      </c>
      <c r="B965" s="4" t="s">
        <v>981</v>
      </c>
      <c r="C965" s="17" t="str">
        <f t="shared" si="30"/>
        <v>EC</v>
      </c>
      <c r="D965" s="12">
        <v>0</v>
      </c>
      <c r="J965" s="10">
        <f t="shared" si="31"/>
        <v>0</v>
      </c>
    </row>
    <row r="966" spans="1:10" x14ac:dyDescent="0.2">
      <c r="A966" s="4" t="s">
        <v>1329</v>
      </c>
      <c r="B966" s="4" t="s">
        <v>981</v>
      </c>
      <c r="C966" s="17" t="str">
        <f t="shared" si="30"/>
        <v>EC</v>
      </c>
      <c r="D966" s="12">
        <v>0</v>
      </c>
      <c r="J966" s="10">
        <f t="shared" si="31"/>
        <v>0</v>
      </c>
    </row>
    <row r="967" spans="1:10" x14ac:dyDescent="0.2">
      <c r="A967" s="4" t="s">
        <v>1233</v>
      </c>
      <c r="B967" s="4" t="s">
        <v>981</v>
      </c>
      <c r="C967" s="17" t="str">
        <f t="shared" si="30"/>
        <v>EC</v>
      </c>
      <c r="D967" s="12">
        <v>0</v>
      </c>
      <c r="J967" s="10">
        <f t="shared" si="31"/>
        <v>0</v>
      </c>
    </row>
    <row r="968" spans="1:10" x14ac:dyDescent="0.2">
      <c r="A968" s="4" t="s">
        <v>1234</v>
      </c>
      <c r="B968" s="4" t="s">
        <v>981</v>
      </c>
      <c r="C968" s="17" t="str">
        <f t="shared" si="30"/>
        <v>EC</v>
      </c>
      <c r="D968" s="12">
        <v>0</v>
      </c>
      <c r="J968" s="10">
        <f t="shared" si="31"/>
        <v>0</v>
      </c>
    </row>
    <row r="969" spans="1:10" x14ac:dyDescent="0.2">
      <c r="A969" s="4" t="s">
        <v>596</v>
      </c>
      <c r="B969" s="4" t="s">
        <v>981</v>
      </c>
      <c r="C969" s="17" t="str">
        <f t="shared" si="30"/>
        <v>EC</v>
      </c>
      <c r="D969" s="12">
        <v>0</v>
      </c>
      <c r="J969" s="10">
        <f t="shared" si="31"/>
        <v>0</v>
      </c>
    </row>
    <row r="970" spans="1:10" x14ac:dyDescent="0.2">
      <c r="A970" s="4" t="s">
        <v>597</v>
      </c>
      <c r="B970" s="4" t="s">
        <v>981</v>
      </c>
      <c r="C970" s="17" t="str">
        <f t="shared" si="30"/>
        <v>EC</v>
      </c>
      <c r="D970" s="12">
        <v>0</v>
      </c>
      <c r="J970" s="10">
        <f t="shared" si="31"/>
        <v>0</v>
      </c>
    </row>
    <row r="971" spans="1:10" x14ac:dyDescent="0.2">
      <c r="A971" s="4" t="s">
        <v>1235</v>
      </c>
      <c r="B971" s="4" t="s">
        <v>981</v>
      </c>
      <c r="C971" s="17" t="str">
        <f t="shared" si="30"/>
        <v>EC</v>
      </c>
      <c r="D971" s="12">
        <v>0</v>
      </c>
      <c r="J971" s="10">
        <f t="shared" si="31"/>
        <v>0</v>
      </c>
    </row>
    <row r="972" spans="1:10" x14ac:dyDescent="0.2">
      <c r="A972" s="4" t="s">
        <v>1236</v>
      </c>
      <c r="B972" s="4" t="s">
        <v>981</v>
      </c>
      <c r="C972" s="17" t="str">
        <f t="shared" si="30"/>
        <v>EC</v>
      </c>
      <c r="D972" s="12">
        <v>0</v>
      </c>
      <c r="J972" s="10">
        <f t="shared" si="31"/>
        <v>0</v>
      </c>
    </row>
    <row r="973" spans="1:10" x14ac:dyDescent="0.2">
      <c r="A973" s="4" t="s">
        <v>1237</v>
      </c>
      <c r="B973" s="4" t="s">
        <v>981</v>
      </c>
      <c r="C973" s="17" t="str">
        <f t="shared" si="30"/>
        <v>EC</v>
      </c>
      <c r="D973" s="12">
        <v>0</v>
      </c>
      <c r="J973" s="10">
        <f t="shared" si="31"/>
        <v>0</v>
      </c>
    </row>
    <row r="974" spans="1:10" x14ac:dyDescent="0.2">
      <c r="A974" s="4" t="s">
        <v>1238</v>
      </c>
      <c r="B974" s="4" t="s">
        <v>981</v>
      </c>
      <c r="C974" s="17" t="str">
        <f t="shared" si="30"/>
        <v>EC</v>
      </c>
      <c r="D974" s="12">
        <v>0</v>
      </c>
      <c r="J974" s="10">
        <f t="shared" si="31"/>
        <v>0</v>
      </c>
    </row>
    <row r="975" spans="1:10" x14ac:dyDescent="0.2">
      <c r="A975" s="4" t="s">
        <v>1239</v>
      </c>
      <c r="B975" s="4" t="s">
        <v>981</v>
      </c>
      <c r="C975" s="17" t="str">
        <f t="shared" si="30"/>
        <v>EC</v>
      </c>
      <c r="D975" s="12">
        <v>0</v>
      </c>
      <c r="J975" s="10">
        <f t="shared" si="31"/>
        <v>0</v>
      </c>
    </row>
    <row r="976" spans="1:10" x14ac:dyDescent="0.2">
      <c r="A976" s="4" t="s">
        <v>1240</v>
      </c>
      <c r="B976" s="4" t="s">
        <v>981</v>
      </c>
      <c r="C976" s="17" t="str">
        <f t="shared" si="30"/>
        <v>EC</v>
      </c>
      <c r="D976" s="12">
        <v>0</v>
      </c>
      <c r="J976" s="10">
        <f t="shared" si="31"/>
        <v>0</v>
      </c>
    </row>
    <row r="977" spans="1:10" x14ac:dyDescent="0.2">
      <c r="A977" s="4" t="s">
        <v>1241</v>
      </c>
      <c r="B977" s="4" t="s">
        <v>981</v>
      </c>
      <c r="C977" s="17" t="str">
        <f t="shared" si="30"/>
        <v>EC</v>
      </c>
      <c r="D977" s="12">
        <v>0</v>
      </c>
      <c r="J977" s="10">
        <f t="shared" si="31"/>
        <v>0</v>
      </c>
    </row>
    <row r="978" spans="1:10" x14ac:dyDescent="0.2">
      <c r="A978" s="4" t="s">
        <v>1242</v>
      </c>
      <c r="B978" s="4" t="s">
        <v>981</v>
      </c>
      <c r="C978" s="17" t="str">
        <f t="shared" si="30"/>
        <v>EC</v>
      </c>
      <c r="D978" s="12">
        <v>0</v>
      </c>
      <c r="J978" s="10">
        <f t="shared" si="31"/>
        <v>0</v>
      </c>
    </row>
    <row r="979" spans="1:10" x14ac:dyDescent="0.2">
      <c r="A979" s="4" t="s">
        <v>1243</v>
      </c>
      <c r="B979" s="4" t="s">
        <v>981</v>
      </c>
      <c r="C979" s="17" t="str">
        <f t="shared" si="30"/>
        <v>EC</v>
      </c>
      <c r="D979" s="12">
        <v>0</v>
      </c>
      <c r="J979" s="10">
        <f t="shared" si="31"/>
        <v>0</v>
      </c>
    </row>
    <row r="980" spans="1:10" x14ac:dyDescent="0.2">
      <c r="A980" s="4" t="s">
        <v>1244</v>
      </c>
      <c r="B980" s="4" t="s">
        <v>981</v>
      </c>
      <c r="C980" s="17" t="str">
        <f t="shared" si="30"/>
        <v>EC</v>
      </c>
      <c r="D980" s="12">
        <v>0</v>
      </c>
      <c r="J980" s="10">
        <f t="shared" si="31"/>
        <v>0</v>
      </c>
    </row>
    <row r="981" spans="1:10" x14ac:dyDescent="0.2">
      <c r="A981" s="4" t="s">
        <v>1245</v>
      </c>
      <c r="B981" s="4" t="s">
        <v>981</v>
      </c>
      <c r="C981" s="17" t="str">
        <f t="shared" si="30"/>
        <v>EC</v>
      </c>
      <c r="D981" s="12">
        <v>0</v>
      </c>
      <c r="J981" s="10">
        <f t="shared" si="31"/>
        <v>0</v>
      </c>
    </row>
    <row r="982" spans="1:10" x14ac:dyDescent="0.2">
      <c r="A982" s="4" t="s">
        <v>1246</v>
      </c>
      <c r="B982" s="4" t="s">
        <v>981</v>
      </c>
      <c r="C982" s="17" t="str">
        <f t="shared" si="30"/>
        <v>EC</v>
      </c>
      <c r="D982" s="12">
        <v>0</v>
      </c>
      <c r="J982" s="10">
        <f t="shared" si="31"/>
        <v>0</v>
      </c>
    </row>
    <row r="983" spans="1:10" x14ac:dyDescent="0.2">
      <c r="A983" s="4" t="s">
        <v>1247</v>
      </c>
      <c r="B983" s="4" t="s">
        <v>981</v>
      </c>
      <c r="C983" s="17" t="str">
        <f t="shared" si="30"/>
        <v>EC</v>
      </c>
      <c r="D983" s="12">
        <v>0</v>
      </c>
      <c r="J983" s="10">
        <f t="shared" si="31"/>
        <v>0</v>
      </c>
    </row>
    <row r="984" spans="1:10" x14ac:dyDescent="0.2">
      <c r="A984" s="4" t="s">
        <v>1248</v>
      </c>
      <c r="B984" s="4" t="s">
        <v>981</v>
      </c>
      <c r="C984" s="17" t="str">
        <f t="shared" si="30"/>
        <v>EC</v>
      </c>
      <c r="D984" s="12">
        <v>0</v>
      </c>
      <c r="J984" s="10">
        <f t="shared" si="31"/>
        <v>0</v>
      </c>
    </row>
    <row r="985" spans="1:10" x14ac:dyDescent="0.2">
      <c r="A985" s="4" t="s">
        <v>1249</v>
      </c>
      <c r="B985" s="4" t="s">
        <v>981</v>
      </c>
      <c r="C985" s="17" t="str">
        <f t="shared" si="30"/>
        <v>EC</v>
      </c>
      <c r="D985" s="12">
        <v>0</v>
      </c>
      <c r="J985" s="10">
        <f t="shared" si="31"/>
        <v>0</v>
      </c>
    </row>
    <row r="986" spans="1:10" x14ac:dyDescent="0.2">
      <c r="A986" s="4" t="s">
        <v>1250</v>
      </c>
      <c r="B986" s="4" t="s">
        <v>981</v>
      </c>
      <c r="C986" s="17" t="str">
        <f t="shared" si="30"/>
        <v>EC</v>
      </c>
      <c r="D986" s="12">
        <v>0</v>
      </c>
      <c r="J986" s="10">
        <f t="shared" si="31"/>
        <v>0</v>
      </c>
    </row>
    <row r="987" spans="1:10" x14ac:dyDescent="0.2">
      <c r="A987" s="4" t="s">
        <v>1251</v>
      </c>
      <c r="B987" s="4" t="s">
        <v>981</v>
      </c>
      <c r="C987" s="17" t="str">
        <f t="shared" si="30"/>
        <v>EC</v>
      </c>
      <c r="D987" s="12">
        <v>0</v>
      </c>
      <c r="J987" s="10">
        <f t="shared" si="31"/>
        <v>0</v>
      </c>
    </row>
    <row r="988" spans="1:10" x14ac:dyDescent="0.2">
      <c r="A988" s="4" t="s">
        <v>1252</v>
      </c>
      <c r="B988" s="4" t="s">
        <v>981</v>
      </c>
      <c r="C988" s="17" t="str">
        <f t="shared" si="30"/>
        <v>EC</v>
      </c>
      <c r="D988" s="12">
        <v>0</v>
      </c>
      <c r="J988" s="10">
        <f t="shared" si="31"/>
        <v>0</v>
      </c>
    </row>
    <row r="989" spans="1:10" x14ac:dyDescent="0.2">
      <c r="A989" s="4" t="s">
        <v>1253</v>
      </c>
      <c r="B989" s="4" t="s">
        <v>981</v>
      </c>
      <c r="C989" s="17" t="str">
        <f t="shared" si="30"/>
        <v>EC</v>
      </c>
      <c r="D989" s="12">
        <v>0</v>
      </c>
      <c r="J989" s="10">
        <f t="shared" si="31"/>
        <v>0</v>
      </c>
    </row>
    <row r="990" spans="1:10" x14ac:dyDescent="0.2">
      <c r="A990" s="4" t="s">
        <v>1254</v>
      </c>
      <c r="B990" s="4" t="s">
        <v>981</v>
      </c>
      <c r="C990" s="17" t="str">
        <f t="shared" si="30"/>
        <v>EC</v>
      </c>
      <c r="D990" s="12">
        <v>0</v>
      </c>
      <c r="J990" s="10">
        <f t="shared" si="31"/>
        <v>0</v>
      </c>
    </row>
    <row r="991" spans="1:10" x14ac:dyDescent="0.2">
      <c r="A991" s="4" t="s">
        <v>1255</v>
      </c>
      <c r="B991" s="4" t="s">
        <v>981</v>
      </c>
      <c r="C991" s="17" t="str">
        <f t="shared" si="30"/>
        <v>EC</v>
      </c>
      <c r="D991" s="12">
        <v>0</v>
      </c>
      <c r="J991" s="10">
        <f t="shared" si="31"/>
        <v>0</v>
      </c>
    </row>
    <row r="992" spans="1:10" x14ac:dyDescent="0.2">
      <c r="A992" s="4" t="s">
        <v>1256</v>
      </c>
      <c r="B992" s="4" t="s">
        <v>981</v>
      </c>
      <c r="C992" s="17" t="str">
        <f t="shared" si="30"/>
        <v>EC</v>
      </c>
      <c r="D992" s="12">
        <v>0</v>
      </c>
      <c r="J992" s="10">
        <f t="shared" si="31"/>
        <v>0</v>
      </c>
    </row>
    <row r="993" spans="1:10" x14ac:dyDescent="0.2">
      <c r="A993" s="4" t="s">
        <v>1257</v>
      </c>
      <c r="B993" s="4" t="s">
        <v>981</v>
      </c>
      <c r="C993" s="17" t="str">
        <f t="shared" si="30"/>
        <v>EC</v>
      </c>
      <c r="D993" s="12">
        <v>0</v>
      </c>
      <c r="J993" s="10">
        <f t="shared" si="31"/>
        <v>0</v>
      </c>
    </row>
    <row r="994" spans="1:10" x14ac:dyDescent="0.2">
      <c r="A994" s="4" t="s">
        <v>1258</v>
      </c>
      <c r="B994" s="4" t="s">
        <v>981</v>
      </c>
      <c r="C994" s="17" t="str">
        <f t="shared" si="30"/>
        <v>EC</v>
      </c>
      <c r="D994" s="12">
        <v>0</v>
      </c>
      <c r="J994" s="10">
        <f t="shared" si="31"/>
        <v>0</v>
      </c>
    </row>
    <row r="995" spans="1:10" x14ac:dyDescent="0.2">
      <c r="A995" s="4" t="s">
        <v>1259</v>
      </c>
      <c r="B995" s="4" t="s">
        <v>981</v>
      </c>
      <c r="C995" s="17" t="str">
        <f t="shared" si="30"/>
        <v>EC</v>
      </c>
      <c r="D995" s="12">
        <v>0</v>
      </c>
      <c r="J995" s="10">
        <f t="shared" si="31"/>
        <v>0</v>
      </c>
    </row>
    <row r="996" spans="1:10" x14ac:dyDescent="0.2">
      <c r="A996" s="4" t="s">
        <v>1260</v>
      </c>
      <c r="B996" s="4" t="s">
        <v>981</v>
      </c>
      <c r="C996" s="17" t="str">
        <f t="shared" si="30"/>
        <v>EC</v>
      </c>
      <c r="D996" s="12">
        <v>0</v>
      </c>
      <c r="J996" s="10">
        <f t="shared" si="31"/>
        <v>0</v>
      </c>
    </row>
    <row r="997" spans="1:10" x14ac:dyDescent="0.2">
      <c r="A997" s="4" t="s">
        <v>1261</v>
      </c>
      <c r="B997" s="4" t="s">
        <v>981</v>
      </c>
      <c r="C997" s="17" t="str">
        <f t="shared" si="30"/>
        <v>EC</v>
      </c>
      <c r="D997" s="12">
        <v>0</v>
      </c>
      <c r="J997" s="10">
        <f t="shared" si="31"/>
        <v>0</v>
      </c>
    </row>
    <row r="998" spans="1:10" x14ac:dyDescent="0.2">
      <c r="A998" s="4" t="s">
        <v>1262</v>
      </c>
      <c r="B998" s="4" t="s">
        <v>981</v>
      </c>
      <c r="C998" s="17" t="str">
        <f t="shared" si="30"/>
        <v>EC</v>
      </c>
      <c r="D998" s="12">
        <v>0</v>
      </c>
      <c r="J998" s="10">
        <f t="shared" si="31"/>
        <v>0</v>
      </c>
    </row>
    <row r="999" spans="1:10" x14ac:dyDescent="0.2">
      <c r="A999" s="4" t="s">
        <v>1263</v>
      </c>
      <c r="B999" s="4" t="s">
        <v>981</v>
      </c>
      <c r="C999" s="17" t="str">
        <f t="shared" si="30"/>
        <v>EC</v>
      </c>
      <c r="D999" s="12">
        <v>0</v>
      </c>
      <c r="J999" s="10">
        <f t="shared" si="31"/>
        <v>0</v>
      </c>
    </row>
    <row r="1000" spans="1:10" x14ac:dyDescent="0.2">
      <c r="A1000" s="4" t="s">
        <v>1264</v>
      </c>
      <c r="B1000" s="4" t="s">
        <v>981</v>
      </c>
      <c r="C1000" s="17" t="str">
        <f t="shared" si="30"/>
        <v>EC</v>
      </c>
      <c r="D1000" s="12">
        <v>0</v>
      </c>
      <c r="J1000" s="10">
        <f t="shared" si="31"/>
        <v>0</v>
      </c>
    </row>
    <row r="1001" spans="1:10" x14ac:dyDescent="0.2">
      <c r="A1001" s="4" t="s">
        <v>1265</v>
      </c>
      <c r="B1001" s="4" t="s">
        <v>981</v>
      </c>
      <c r="C1001" s="17" t="str">
        <f t="shared" si="30"/>
        <v>EC</v>
      </c>
      <c r="D1001" s="12">
        <v>0</v>
      </c>
      <c r="J1001" s="10">
        <f t="shared" si="31"/>
        <v>0</v>
      </c>
    </row>
    <row r="1002" spans="1:10" x14ac:dyDescent="0.2">
      <c r="A1002" s="4" t="s">
        <v>561</v>
      </c>
      <c r="B1002" s="4" t="s">
        <v>981</v>
      </c>
      <c r="C1002" s="17" t="str">
        <f t="shared" si="30"/>
        <v>EC</v>
      </c>
      <c r="D1002" s="12">
        <v>0</v>
      </c>
      <c r="J1002" s="10">
        <f t="shared" si="31"/>
        <v>0</v>
      </c>
    </row>
    <row r="1003" spans="1:10" x14ac:dyDescent="0.2">
      <c r="A1003" s="4" t="s">
        <v>544</v>
      </c>
      <c r="B1003" s="4" t="s">
        <v>981</v>
      </c>
      <c r="C1003" s="17" t="str">
        <f t="shared" si="30"/>
        <v>EC</v>
      </c>
      <c r="D1003" s="12">
        <v>0</v>
      </c>
      <c r="J1003" s="10">
        <f t="shared" si="31"/>
        <v>0</v>
      </c>
    </row>
    <row r="1004" spans="1:10" x14ac:dyDescent="0.2">
      <c r="A1004" s="4" t="s">
        <v>1266</v>
      </c>
      <c r="B1004" s="4" t="s">
        <v>981</v>
      </c>
      <c r="C1004" s="17" t="str">
        <f t="shared" si="30"/>
        <v>EC</v>
      </c>
      <c r="D1004" s="12">
        <v>0</v>
      </c>
      <c r="J1004" s="10">
        <f t="shared" si="31"/>
        <v>0</v>
      </c>
    </row>
    <row r="1005" spans="1:10" x14ac:dyDescent="0.2">
      <c r="A1005" s="4" t="s">
        <v>570</v>
      </c>
      <c r="B1005" s="4" t="s">
        <v>981</v>
      </c>
      <c r="C1005" s="17" t="str">
        <f t="shared" si="30"/>
        <v>EC</v>
      </c>
      <c r="D1005" s="12">
        <v>0</v>
      </c>
      <c r="J1005" s="10">
        <f t="shared" si="31"/>
        <v>0</v>
      </c>
    </row>
    <row r="1006" spans="1:10" x14ac:dyDescent="0.2">
      <c r="A1006" s="4" t="s">
        <v>572</v>
      </c>
      <c r="B1006" s="4" t="s">
        <v>981</v>
      </c>
      <c r="C1006" s="17" t="str">
        <f t="shared" si="30"/>
        <v>EC</v>
      </c>
      <c r="D1006" s="12">
        <v>0</v>
      </c>
      <c r="J1006" s="10">
        <f t="shared" si="31"/>
        <v>0</v>
      </c>
    </row>
    <row r="1007" spans="1:10" x14ac:dyDescent="0.2">
      <c r="A1007" s="4" t="s">
        <v>551</v>
      </c>
      <c r="B1007" s="4" t="s">
        <v>981</v>
      </c>
      <c r="C1007" s="17" t="str">
        <f t="shared" si="30"/>
        <v>EC</v>
      </c>
      <c r="D1007" s="12">
        <v>0</v>
      </c>
      <c r="J1007" s="10">
        <f t="shared" si="31"/>
        <v>0</v>
      </c>
    </row>
    <row r="1008" spans="1:10" x14ac:dyDescent="0.2">
      <c r="A1008" s="4" t="s">
        <v>553</v>
      </c>
      <c r="B1008" s="4" t="s">
        <v>981</v>
      </c>
      <c r="C1008" s="17" t="str">
        <f t="shared" si="30"/>
        <v>EC</v>
      </c>
      <c r="D1008" s="12">
        <v>0</v>
      </c>
      <c r="J1008" s="10">
        <f t="shared" si="31"/>
        <v>0</v>
      </c>
    </row>
    <row r="1009" spans="1:10" x14ac:dyDescent="0.2">
      <c r="A1009" s="4" t="s">
        <v>1267</v>
      </c>
      <c r="B1009" s="4" t="s">
        <v>981</v>
      </c>
      <c r="C1009" s="17" t="str">
        <f t="shared" si="30"/>
        <v>EC</v>
      </c>
      <c r="D1009" s="12">
        <v>0</v>
      </c>
      <c r="J1009" s="10">
        <f t="shared" si="31"/>
        <v>0</v>
      </c>
    </row>
    <row r="1010" spans="1:10" x14ac:dyDescent="0.2">
      <c r="A1010" s="4" t="s">
        <v>1268</v>
      </c>
      <c r="B1010" s="4" t="s">
        <v>981</v>
      </c>
      <c r="C1010" s="17" t="str">
        <f t="shared" si="30"/>
        <v>EC</v>
      </c>
      <c r="D1010" s="12">
        <v>0</v>
      </c>
      <c r="J1010" s="10">
        <f t="shared" si="31"/>
        <v>0</v>
      </c>
    </row>
    <row r="1011" spans="1:10" x14ac:dyDescent="0.2">
      <c r="A1011" s="4" t="s">
        <v>1269</v>
      </c>
      <c r="B1011" s="4" t="s">
        <v>981</v>
      </c>
      <c r="C1011" s="17" t="str">
        <f t="shared" si="30"/>
        <v>EC</v>
      </c>
      <c r="D1011" s="12">
        <v>0</v>
      </c>
      <c r="J1011" s="10">
        <f t="shared" si="31"/>
        <v>0</v>
      </c>
    </row>
    <row r="1012" spans="1:10" x14ac:dyDescent="0.2">
      <c r="A1012" s="4" t="s">
        <v>1270</v>
      </c>
      <c r="B1012" s="4" t="s">
        <v>981</v>
      </c>
      <c r="C1012" s="17" t="str">
        <f t="shared" si="30"/>
        <v>EC</v>
      </c>
      <c r="D1012" s="12">
        <v>0</v>
      </c>
      <c r="J1012" s="10">
        <f t="shared" si="31"/>
        <v>0</v>
      </c>
    </row>
    <row r="1013" spans="1:10" x14ac:dyDescent="0.2">
      <c r="A1013" s="4" t="s">
        <v>1271</v>
      </c>
      <c r="B1013" s="4" t="s">
        <v>981</v>
      </c>
      <c r="C1013" s="17" t="str">
        <f t="shared" si="30"/>
        <v>EC</v>
      </c>
      <c r="D1013" s="12">
        <v>0</v>
      </c>
      <c r="J1013" s="10">
        <f t="shared" si="31"/>
        <v>0</v>
      </c>
    </row>
    <row r="1014" spans="1:10" x14ac:dyDescent="0.2">
      <c r="A1014" s="4" t="s">
        <v>1272</v>
      </c>
      <c r="B1014" s="4" t="s">
        <v>981</v>
      </c>
      <c r="C1014" s="17" t="str">
        <f t="shared" si="30"/>
        <v>EC</v>
      </c>
      <c r="D1014" s="12">
        <v>0</v>
      </c>
      <c r="J1014" s="10">
        <f t="shared" si="31"/>
        <v>0</v>
      </c>
    </row>
    <row r="1015" spans="1:10" x14ac:dyDescent="0.2">
      <c r="A1015" s="4" t="s">
        <v>1273</v>
      </c>
      <c r="B1015" s="4" t="s">
        <v>981</v>
      </c>
      <c r="C1015" s="17" t="str">
        <f t="shared" si="30"/>
        <v>EC</v>
      </c>
      <c r="D1015" s="12">
        <v>0</v>
      </c>
      <c r="J1015" s="10">
        <f t="shared" si="31"/>
        <v>0</v>
      </c>
    </row>
    <row r="1016" spans="1:10" x14ac:dyDescent="0.2">
      <c r="A1016" s="4" t="s">
        <v>1274</v>
      </c>
      <c r="B1016" s="4" t="s">
        <v>981</v>
      </c>
      <c r="C1016" s="17" t="str">
        <f t="shared" si="30"/>
        <v>EC</v>
      </c>
      <c r="D1016" s="12">
        <v>0</v>
      </c>
      <c r="J1016" s="10">
        <f t="shared" si="31"/>
        <v>0</v>
      </c>
    </row>
    <row r="1017" spans="1:10" x14ac:dyDescent="0.2">
      <c r="A1017" s="4" t="s">
        <v>1275</v>
      </c>
      <c r="B1017" s="4" t="s">
        <v>981</v>
      </c>
      <c r="C1017" s="17" t="str">
        <f t="shared" si="30"/>
        <v>EC</v>
      </c>
      <c r="D1017" s="12">
        <v>0</v>
      </c>
      <c r="J1017" s="10">
        <f t="shared" si="31"/>
        <v>0</v>
      </c>
    </row>
    <row r="1018" spans="1:10" x14ac:dyDescent="0.2">
      <c r="A1018" s="4" t="s">
        <v>1276</v>
      </c>
      <c r="B1018" s="4" t="s">
        <v>981</v>
      </c>
      <c r="C1018" s="17" t="str">
        <f t="shared" si="30"/>
        <v>EC</v>
      </c>
      <c r="D1018" s="12">
        <v>0</v>
      </c>
      <c r="J1018" s="10">
        <f t="shared" si="31"/>
        <v>0</v>
      </c>
    </row>
    <row r="1019" spans="1:10" x14ac:dyDescent="0.2">
      <c r="A1019" s="4" t="s">
        <v>1277</v>
      </c>
      <c r="B1019" s="4" t="s">
        <v>981</v>
      </c>
      <c r="C1019" s="17" t="str">
        <f t="shared" si="30"/>
        <v>EC</v>
      </c>
      <c r="D1019" s="12">
        <v>0</v>
      </c>
      <c r="J1019" s="10">
        <f t="shared" si="31"/>
        <v>0</v>
      </c>
    </row>
    <row r="1020" spans="1:10" x14ac:dyDescent="0.2">
      <c r="A1020" s="4" t="s">
        <v>1284</v>
      </c>
      <c r="B1020" s="4" t="s">
        <v>981</v>
      </c>
      <c r="C1020" s="17" t="str">
        <f t="shared" si="30"/>
        <v>EC</v>
      </c>
      <c r="D1020" s="12">
        <v>0</v>
      </c>
      <c r="J1020" s="10">
        <f t="shared" si="31"/>
        <v>0</v>
      </c>
    </row>
    <row r="1021" spans="1:10" x14ac:dyDescent="0.2">
      <c r="A1021" s="4" t="s">
        <v>1285</v>
      </c>
      <c r="B1021" s="4" t="s">
        <v>981</v>
      </c>
      <c r="C1021" s="17" t="str">
        <f t="shared" si="30"/>
        <v>EC</v>
      </c>
      <c r="D1021" s="12">
        <v>0</v>
      </c>
      <c r="J1021" s="10">
        <f t="shared" si="31"/>
        <v>0</v>
      </c>
    </row>
    <row r="1022" spans="1:10" x14ac:dyDescent="0.2">
      <c r="A1022" s="4" t="s">
        <v>1286</v>
      </c>
      <c r="B1022" s="4" t="s">
        <v>981</v>
      </c>
      <c r="C1022" s="17" t="str">
        <f t="shared" si="30"/>
        <v>EC</v>
      </c>
      <c r="D1022" s="12">
        <v>0</v>
      </c>
      <c r="J1022" s="10">
        <f t="shared" si="31"/>
        <v>0</v>
      </c>
    </row>
    <row r="1023" spans="1:10" x14ac:dyDescent="0.2">
      <c r="A1023" s="4" t="s">
        <v>1287</v>
      </c>
      <c r="B1023" s="4" t="s">
        <v>981</v>
      </c>
      <c r="C1023" s="17" t="str">
        <f t="shared" si="30"/>
        <v>EC</v>
      </c>
      <c r="D1023" s="12">
        <v>0</v>
      </c>
      <c r="J1023" s="10">
        <f t="shared" si="31"/>
        <v>0</v>
      </c>
    </row>
    <row r="1024" spans="1:10" x14ac:dyDescent="0.2">
      <c r="A1024" s="4" t="s">
        <v>1288</v>
      </c>
      <c r="B1024" s="4" t="s">
        <v>981</v>
      </c>
      <c r="C1024" s="17" t="str">
        <f t="shared" si="30"/>
        <v>EC</v>
      </c>
      <c r="D1024" s="12">
        <v>0</v>
      </c>
      <c r="J1024" s="10">
        <f t="shared" si="31"/>
        <v>0</v>
      </c>
    </row>
    <row r="1025" spans="1:10" x14ac:dyDescent="0.2">
      <c r="A1025" s="4" t="s">
        <v>1289</v>
      </c>
      <c r="B1025" s="4" t="s">
        <v>981</v>
      </c>
      <c r="C1025" s="17" t="str">
        <f t="shared" si="30"/>
        <v>EC</v>
      </c>
      <c r="D1025" s="12">
        <v>0</v>
      </c>
      <c r="J1025" s="10">
        <f t="shared" si="31"/>
        <v>0</v>
      </c>
    </row>
    <row r="1026" spans="1:10" x14ac:dyDescent="0.2">
      <c r="A1026" s="4" t="s">
        <v>1290</v>
      </c>
      <c r="B1026" s="4" t="s">
        <v>981</v>
      </c>
      <c r="C1026" s="17" t="str">
        <f t="shared" ref="C1026:C1089" si="32">VLOOKUP(B1026, quota_order_numbers2, 6, FALSE)</f>
        <v>EC</v>
      </c>
      <c r="D1026" s="12">
        <v>0</v>
      </c>
      <c r="J1026" s="10">
        <f t="shared" ref="J1026:J1089" si="33">VLOOKUP(B1026, quota_order_numbers2, 2, FALSE)</f>
        <v>0</v>
      </c>
    </row>
    <row r="1027" spans="1:10" x14ac:dyDescent="0.2">
      <c r="A1027" s="4" t="s">
        <v>1291</v>
      </c>
      <c r="B1027" s="4" t="s">
        <v>981</v>
      </c>
      <c r="C1027" s="17" t="str">
        <f t="shared" si="32"/>
        <v>EC</v>
      </c>
      <c r="D1027" s="12">
        <v>0</v>
      </c>
      <c r="J1027" s="10">
        <f t="shared" si="33"/>
        <v>0</v>
      </c>
    </row>
    <row r="1028" spans="1:10" x14ac:dyDescent="0.2">
      <c r="A1028" s="4" t="s">
        <v>1292</v>
      </c>
      <c r="B1028" s="4" t="s">
        <v>981</v>
      </c>
      <c r="C1028" s="17" t="str">
        <f t="shared" si="32"/>
        <v>EC</v>
      </c>
      <c r="D1028" s="12">
        <v>0</v>
      </c>
      <c r="J1028" s="10">
        <f t="shared" si="33"/>
        <v>0</v>
      </c>
    </row>
    <row r="1029" spans="1:10" x14ac:dyDescent="0.2">
      <c r="A1029" s="4" t="s">
        <v>1293</v>
      </c>
      <c r="B1029" s="4" t="s">
        <v>981</v>
      </c>
      <c r="C1029" s="17" t="str">
        <f t="shared" si="32"/>
        <v>EC</v>
      </c>
      <c r="D1029" s="12">
        <v>0</v>
      </c>
      <c r="J1029" s="10">
        <f t="shared" si="33"/>
        <v>0</v>
      </c>
    </row>
    <row r="1030" spans="1:10" x14ac:dyDescent="0.2">
      <c r="A1030" s="4" t="s">
        <v>1294</v>
      </c>
      <c r="B1030" s="4" t="s">
        <v>981</v>
      </c>
      <c r="C1030" s="17" t="str">
        <f t="shared" si="32"/>
        <v>EC</v>
      </c>
      <c r="D1030" s="12">
        <v>0</v>
      </c>
      <c r="J1030" s="10">
        <f t="shared" si="33"/>
        <v>0</v>
      </c>
    </row>
    <row r="1031" spans="1:10" x14ac:dyDescent="0.2">
      <c r="A1031" s="4" t="s">
        <v>1295</v>
      </c>
      <c r="B1031" s="4" t="s">
        <v>981</v>
      </c>
      <c r="C1031" s="17" t="str">
        <f t="shared" si="32"/>
        <v>EC</v>
      </c>
      <c r="D1031" s="12">
        <v>0</v>
      </c>
      <c r="J1031" s="10">
        <f t="shared" si="33"/>
        <v>0</v>
      </c>
    </row>
    <row r="1032" spans="1:10" x14ac:dyDescent="0.2">
      <c r="A1032" s="4" t="s">
        <v>1296</v>
      </c>
      <c r="B1032" s="4" t="s">
        <v>981</v>
      </c>
      <c r="C1032" s="17" t="str">
        <f t="shared" si="32"/>
        <v>EC</v>
      </c>
      <c r="D1032" s="12">
        <v>0</v>
      </c>
      <c r="J1032" s="10">
        <f t="shared" si="33"/>
        <v>0</v>
      </c>
    </row>
    <row r="1033" spans="1:10" x14ac:dyDescent="0.2">
      <c r="A1033" s="4" t="s">
        <v>610</v>
      </c>
      <c r="B1033" s="4" t="s">
        <v>981</v>
      </c>
      <c r="C1033" s="17" t="str">
        <f t="shared" si="32"/>
        <v>EC</v>
      </c>
      <c r="D1033" s="12">
        <v>0</v>
      </c>
      <c r="J1033" s="10">
        <f t="shared" si="33"/>
        <v>0</v>
      </c>
    </row>
    <row r="1034" spans="1:10" x14ac:dyDescent="0.2">
      <c r="A1034" s="4" t="s">
        <v>1297</v>
      </c>
      <c r="B1034" s="4" t="s">
        <v>981</v>
      </c>
      <c r="C1034" s="17" t="str">
        <f t="shared" si="32"/>
        <v>EC</v>
      </c>
      <c r="D1034" s="12">
        <v>0</v>
      </c>
      <c r="J1034" s="10">
        <f t="shared" si="33"/>
        <v>0</v>
      </c>
    </row>
    <row r="1035" spans="1:10" x14ac:dyDescent="0.2">
      <c r="A1035" s="4" t="s">
        <v>1298</v>
      </c>
      <c r="B1035" s="4" t="s">
        <v>981</v>
      </c>
      <c r="C1035" s="17" t="str">
        <f t="shared" si="32"/>
        <v>EC</v>
      </c>
      <c r="D1035" s="12">
        <v>0</v>
      </c>
      <c r="J1035" s="10">
        <f t="shared" si="33"/>
        <v>0</v>
      </c>
    </row>
    <row r="1036" spans="1:10" x14ac:dyDescent="0.2">
      <c r="A1036" s="4" t="s">
        <v>1299</v>
      </c>
      <c r="B1036" s="4" t="s">
        <v>981</v>
      </c>
      <c r="C1036" s="17" t="str">
        <f t="shared" si="32"/>
        <v>EC</v>
      </c>
      <c r="D1036" s="12">
        <v>0</v>
      </c>
      <c r="J1036" s="10">
        <f t="shared" si="33"/>
        <v>0</v>
      </c>
    </row>
    <row r="1037" spans="1:10" x14ac:dyDescent="0.2">
      <c r="A1037" s="4" t="s">
        <v>1300</v>
      </c>
      <c r="B1037" s="4" t="s">
        <v>981</v>
      </c>
      <c r="C1037" s="17" t="str">
        <f t="shared" si="32"/>
        <v>EC</v>
      </c>
      <c r="D1037" s="12">
        <v>0</v>
      </c>
      <c r="J1037" s="10">
        <f t="shared" si="33"/>
        <v>0</v>
      </c>
    </row>
    <row r="1038" spans="1:10" x14ac:dyDescent="0.2">
      <c r="A1038" s="4" t="s">
        <v>1301</v>
      </c>
      <c r="B1038" s="4" t="s">
        <v>981</v>
      </c>
      <c r="C1038" s="17" t="str">
        <f t="shared" si="32"/>
        <v>EC</v>
      </c>
      <c r="D1038" s="12">
        <v>0</v>
      </c>
      <c r="J1038" s="10">
        <f t="shared" si="33"/>
        <v>0</v>
      </c>
    </row>
    <row r="1039" spans="1:10" x14ac:dyDescent="0.2">
      <c r="A1039" s="4" t="s">
        <v>1302</v>
      </c>
      <c r="B1039" s="4" t="s">
        <v>981</v>
      </c>
      <c r="C1039" s="17" t="str">
        <f t="shared" si="32"/>
        <v>EC</v>
      </c>
      <c r="D1039" s="12">
        <v>0</v>
      </c>
      <c r="J1039" s="10">
        <f t="shared" si="33"/>
        <v>0</v>
      </c>
    </row>
    <row r="1040" spans="1:10" x14ac:dyDescent="0.2">
      <c r="A1040" s="4" t="s">
        <v>1303</v>
      </c>
      <c r="B1040" s="4" t="s">
        <v>981</v>
      </c>
      <c r="C1040" s="17" t="str">
        <f t="shared" si="32"/>
        <v>EC</v>
      </c>
      <c r="D1040" s="12">
        <v>0</v>
      </c>
      <c r="J1040" s="10">
        <f t="shared" si="33"/>
        <v>0</v>
      </c>
    </row>
    <row r="1041" spans="1:10" x14ac:dyDescent="0.2">
      <c r="A1041" s="4" t="s">
        <v>1304</v>
      </c>
      <c r="B1041" s="4" t="s">
        <v>981</v>
      </c>
      <c r="C1041" s="17" t="str">
        <f t="shared" si="32"/>
        <v>EC</v>
      </c>
      <c r="D1041" s="12">
        <v>0</v>
      </c>
      <c r="J1041" s="10">
        <f t="shared" si="33"/>
        <v>0</v>
      </c>
    </row>
    <row r="1042" spans="1:10" x14ac:dyDescent="0.2">
      <c r="A1042" s="4" t="s">
        <v>1305</v>
      </c>
      <c r="B1042" s="4" t="s">
        <v>981</v>
      </c>
      <c r="C1042" s="17" t="str">
        <f t="shared" si="32"/>
        <v>EC</v>
      </c>
      <c r="D1042" s="12">
        <v>0</v>
      </c>
      <c r="J1042" s="10">
        <f t="shared" si="33"/>
        <v>0</v>
      </c>
    </row>
    <row r="1043" spans="1:10" x14ac:dyDescent="0.2">
      <c r="A1043" s="4" t="s">
        <v>1306</v>
      </c>
      <c r="B1043" s="4" t="s">
        <v>981</v>
      </c>
      <c r="C1043" s="17" t="str">
        <f t="shared" si="32"/>
        <v>EC</v>
      </c>
      <c r="D1043" s="12">
        <v>0</v>
      </c>
      <c r="J1043" s="10">
        <f t="shared" si="33"/>
        <v>0</v>
      </c>
    </row>
    <row r="1044" spans="1:10" x14ac:dyDescent="0.2">
      <c r="A1044" s="4" t="s">
        <v>1307</v>
      </c>
      <c r="B1044" s="4" t="s">
        <v>981</v>
      </c>
      <c r="C1044" s="17" t="str">
        <f t="shared" si="32"/>
        <v>EC</v>
      </c>
      <c r="D1044" s="12">
        <v>0</v>
      </c>
      <c r="J1044" s="10">
        <f t="shared" si="33"/>
        <v>0</v>
      </c>
    </row>
    <row r="1045" spans="1:10" x14ac:dyDescent="0.2">
      <c r="A1045" s="4" t="s">
        <v>1308</v>
      </c>
      <c r="B1045" s="4" t="s">
        <v>981</v>
      </c>
      <c r="C1045" s="17" t="str">
        <f t="shared" si="32"/>
        <v>EC</v>
      </c>
      <c r="D1045" s="12">
        <v>0</v>
      </c>
      <c r="J1045" s="10">
        <f t="shared" si="33"/>
        <v>0</v>
      </c>
    </row>
    <row r="1046" spans="1:10" x14ac:dyDescent="0.2">
      <c r="A1046" s="4" t="s">
        <v>1309</v>
      </c>
      <c r="B1046" s="4" t="s">
        <v>981</v>
      </c>
      <c r="C1046" s="17" t="str">
        <f t="shared" si="32"/>
        <v>EC</v>
      </c>
      <c r="D1046" s="12">
        <v>0</v>
      </c>
      <c r="J1046" s="10">
        <f t="shared" si="33"/>
        <v>0</v>
      </c>
    </row>
    <row r="1047" spans="1:10" x14ac:dyDescent="0.2">
      <c r="A1047" s="4" t="s">
        <v>1226</v>
      </c>
      <c r="B1047" s="4" t="s">
        <v>982</v>
      </c>
      <c r="C1047" s="17" t="str">
        <f t="shared" si="32"/>
        <v>EC</v>
      </c>
      <c r="D1047" s="12">
        <v>0</v>
      </c>
      <c r="J1047" s="10">
        <f t="shared" si="33"/>
        <v>0</v>
      </c>
    </row>
    <row r="1048" spans="1:10" x14ac:dyDescent="0.2">
      <c r="A1048" s="4" t="s">
        <v>1227</v>
      </c>
      <c r="B1048" s="4" t="s">
        <v>982</v>
      </c>
      <c r="C1048" s="17" t="str">
        <f t="shared" si="32"/>
        <v>EC</v>
      </c>
      <c r="D1048" s="12">
        <v>0</v>
      </c>
      <c r="J1048" s="10">
        <f t="shared" si="33"/>
        <v>0</v>
      </c>
    </row>
    <row r="1049" spans="1:10" x14ac:dyDescent="0.2">
      <c r="A1049" s="4" t="s">
        <v>1212</v>
      </c>
      <c r="B1049" s="4" t="s">
        <v>1006</v>
      </c>
      <c r="C1049" s="17" t="str">
        <f t="shared" si="32"/>
        <v>PE</v>
      </c>
      <c r="D1049" s="12">
        <v>0</v>
      </c>
      <c r="J1049" s="10">
        <f t="shared" si="33"/>
        <v>0</v>
      </c>
    </row>
    <row r="1050" spans="1:10" x14ac:dyDescent="0.2">
      <c r="A1050" s="4" t="s">
        <v>1330</v>
      </c>
      <c r="B1050" s="4" t="s">
        <v>1007</v>
      </c>
      <c r="C1050" s="17" t="str">
        <f t="shared" si="32"/>
        <v>PE</v>
      </c>
      <c r="D1050" s="12">
        <v>0</v>
      </c>
      <c r="J1050" s="10">
        <f t="shared" si="33"/>
        <v>0</v>
      </c>
    </row>
    <row r="1051" spans="1:10" x14ac:dyDescent="0.2">
      <c r="A1051" s="4" t="s">
        <v>1331</v>
      </c>
      <c r="B1051" s="4" t="s">
        <v>1007</v>
      </c>
      <c r="C1051" s="17" t="str">
        <f t="shared" si="32"/>
        <v>PE</v>
      </c>
      <c r="D1051" s="12">
        <v>0</v>
      </c>
      <c r="J1051" s="10">
        <f t="shared" si="33"/>
        <v>0</v>
      </c>
    </row>
    <row r="1052" spans="1:10" x14ac:dyDescent="0.2">
      <c r="A1052" s="4" t="s">
        <v>1332</v>
      </c>
      <c r="B1052" s="4" t="s">
        <v>1007</v>
      </c>
      <c r="C1052" s="17" t="str">
        <f t="shared" si="32"/>
        <v>PE</v>
      </c>
      <c r="D1052" s="12">
        <v>0</v>
      </c>
      <c r="J1052" s="10">
        <f t="shared" si="33"/>
        <v>0</v>
      </c>
    </row>
    <row r="1053" spans="1:10" x14ac:dyDescent="0.2">
      <c r="A1053" s="4" t="s">
        <v>1333</v>
      </c>
      <c r="B1053" s="4" t="s">
        <v>1007</v>
      </c>
      <c r="C1053" s="17" t="str">
        <f t="shared" si="32"/>
        <v>PE</v>
      </c>
      <c r="D1053" s="12">
        <v>0</v>
      </c>
      <c r="J1053" s="10">
        <f t="shared" si="33"/>
        <v>0</v>
      </c>
    </row>
    <row r="1054" spans="1:10" x14ac:dyDescent="0.2">
      <c r="A1054" s="4" t="s">
        <v>1334</v>
      </c>
      <c r="B1054" s="4" t="s">
        <v>1007</v>
      </c>
      <c r="C1054" s="17" t="str">
        <f t="shared" si="32"/>
        <v>PE</v>
      </c>
      <c r="D1054" s="12">
        <v>0</v>
      </c>
      <c r="J1054" s="10">
        <f t="shared" si="33"/>
        <v>0</v>
      </c>
    </row>
    <row r="1055" spans="1:10" x14ac:dyDescent="0.2">
      <c r="A1055" s="4" t="s">
        <v>1213</v>
      </c>
      <c r="B1055" s="4" t="s">
        <v>1008</v>
      </c>
      <c r="C1055" s="17" t="str">
        <f t="shared" si="32"/>
        <v>PE</v>
      </c>
      <c r="D1055" s="12">
        <v>0</v>
      </c>
      <c r="J1055" s="10">
        <f t="shared" si="33"/>
        <v>0</v>
      </c>
    </row>
    <row r="1056" spans="1:10" x14ac:dyDescent="0.2">
      <c r="A1056" s="4" t="s">
        <v>1214</v>
      </c>
      <c r="B1056" s="4" t="s">
        <v>1009</v>
      </c>
      <c r="C1056" s="17" t="str">
        <f t="shared" si="32"/>
        <v>PE</v>
      </c>
      <c r="D1056" s="12">
        <v>0</v>
      </c>
      <c r="J1056" s="10">
        <f t="shared" si="33"/>
        <v>0</v>
      </c>
    </row>
    <row r="1057" spans="1:10" x14ac:dyDescent="0.2">
      <c r="A1057" s="4" t="s">
        <v>1215</v>
      </c>
      <c r="B1057" s="4" t="s">
        <v>1010</v>
      </c>
      <c r="C1057" s="17" t="str">
        <f t="shared" si="32"/>
        <v>PE</v>
      </c>
      <c r="D1057" s="12">
        <v>0</v>
      </c>
      <c r="J1057" s="10">
        <f t="shared" si="33"/>
        <v>0</v>
      </c>
    </row>
    <row r="1058" spans="1:10" x14ac:dyDescent="0.2">
      <c r="A1058" s="4" t="s">
        <v>1216</v>
      </c>
      <c r="B1058" s="4" t="s">
        <v>1011</v>
      </c>
      <c r="C1058" s="17" t="str">
        <f t="shared" si="32"/>
        <v>PE</v>
      </c>
      <c r="D1058" s="12">
        <v>0</v>
      </c>
      <c r="J1058" s="10">
        <f t="shared" si="33"/>
        <v>0</v>
      </c>
    </row>
    <row r="1059" spans="1:10" x14ac:dyDescent="0.2">
      <c r="A1059" s="4" t="s">
        <v>1217</v>
      </c>
      <c r="B1059" s="4" t="s">
        <v>1012</v>
      </c>
      <c r="C1059" s="17" t="str">
        <f t="shared" si="32"/>
        <v>PE</v>
      </c>
      <c r="D1059" s="12">
        <v>0</v>
      </c>
      <c r="J1059" s="10">
        <f t="shared" si="33"/>
        <v>0</v>
      </c>
    </row>
    <row r="1060" spans="1:10" x14ac:dyDescent="0.2">
      <c r="A1060" s="4" t="s">
        <v>1218</v>
      </c>
      <c r="B1060" s="4" t="s">
        <v>1013</v>
      </c>
      <c r="C1060" s="17" t="str">
        <f t="shared" si="32"/>
        <v>PE</v>
      </c>
      <c r="D1060" s="12">
        <v>0</v>
      </c>
      <c r="J1060" s="10">
        <f t="shared" si="33"/>
        <v>0</v>
      </c>
    </row>
    <row r="1061" spans="1:10" x14ac:dyDescent="0.2">
      <c r="A1061" s="4" t="s">
        <v>1219</v>
      </c>
      <c r="B1061" s="4" t="s">
        <v>1014</v>
      </c>
      <c r="C1061" s="17" t="str">
        <f t="shared" si="32"/>
        <v>PE</v>
      </c>
      <c r="D1061" s="12">
        <v>0</v>
      </c>
      <c r="J1061" s="10">
        <f t="shared" si="33"/>
        <v>0</v>
      </c>
    </row>
    <row r="1062" spans="1:10" x14ac:dyDescent="0.2">
      <c r="A1062" s="4" t="s">
        <v>1220</v>
      </c>
      <c r="B1062" s="4" t="s">
        <v>1015</v>
      </c>
      <c r="C1062" s="17" t="str">
        <f t="shared" si="32"/>
        <v>PE</v>
      </c>
      <c r="D1062" s="12">
        <v>0</v>
      </c>
      <c r="J1062" s="10">
        <f t="shared" si="33"/>
        <v>0</v>
      </c>
    </row>
    <row r="1063" spans="1:10" x14ac:dyDescent="0.2">
      <c r="A1063" s="4" t="s">
        <v>1221</v>
      </c>
      <c r="B1063" s="4" t="s">
        <v>1016</v>
      </c>
      <c r="C1063" s="17" t="str">
        <f t="shared" si="32"/>
        <v>PE</v>
      </c>
      <c r="D1063" s="12">
        <v>0</v>
      </c>
      <c r="J1063" s="10">
        <f t="shared" si="33"/>
        <v>0</v>
      </c>
    </row>
    <row r="1064" spans="1:10" x14ac:dyDescent="0.2">
      <c r="A1064" s="4" t="s">
        <v>1222</v>
      </c>
      <c r="B1064" s="4" t="s">
        <v>1017</v>
      </c>
      <c r="C1064" s="17" t="str">
        <f t="shared" si="32"/>
        <v>PE</v>
      </c>
      <c r="D1064" s="12">
        <v>0</v>
      </c>
      <c r="J1064" s="10">
        <f t="shared" si="33"/>
        <v>0</v>
      </c>
    </row>
    <row r="1065" spans="1:10" x14ac:dyDescent="0.2">
      <c r="A1065" s="4" t="s">
        <v>1223</v>
      </c>
      <c r="B1065" s="4" t="s">
        <v>1018</v>
      </c>
      <c r="C1065" s="17" t="str">
        <f t="shared" si="32"/>
        <v>PE</v>
      </c>
      <c r="D1065" s="12">
        <v>0</v>
      </c>
      <c r="J1065" s="10">
        <f t="shared" si="33"/>
        <v>0</v>
      </c>
    </row>
    <row r="1066" spans="1:10" x14ac:dyDescent="0.2">
      <c r="A1066" s="4" t="s">
        <v>767</v>
      </c>
      <c r="B1066" s="4" t="s">
        <v>1019</v>
      </c>
      <c r="C1066" s="17" t="str">
        <f t="shared" si="32"/>
        <v>PE</v>
      </c>
      <c r="D1066" s="12">
        <v>0</v>
      </c>
      <c r="J1066" s="10">
        <f t="shared" si="33"/>
        <v>0</v>
      </c>
    </row>
    <row r="1067" spans="1:10" x14ac:dyDescent="0.2">
      <c r="A1067" s="4" t="s">
        <v>1335</v>
      </c>
      <c r="B1067" s="4" t="s">
        <v>1020</v>
      </c>
      <c r="C1067" s="17" t="str">
        <f t="shared" si="32"/>
        <v>PE</v>
      </c>
      <c r="D1067" s="12">
        <v>0</v>
      </c>
      <c r="J1067" s="10">
        <f t="shared" si="33"/>
        <v>0</v>
      </c>
    </row>
    <row r="1068" spans="1:10" x14ac:dyDescent="0.2">
      <c r="A1068" s="4" t="s">
        <v>1336</v>
      </c>
      <c r="B1068" s="4" t="s">
        <v>1021</v>
      </c>
      <c r="C1068" s="17" t="str">
        <f t="shared" si="32"/>
        <v>PE</v>
      </c>
      <c r="D1068" s="12">
        <v>0</v>
      </c>
      <c r="J1068" s="10">
        <f t="shared" si="33"/>
        <v>0</v>
      </c>
    </row>
    <row r="1069" spans="1:10" x14ac:dyDescent="0.2">
      <c r="A1069" s="4" t="s">
        <v>1337</v>
      </c>
      <c r="B1069" s="4" t="s">
        <v>1021</v>
      </c>
      <c r="C1069" s="17" t="str">
        <f t="shared" si="32"/>
        <v>PE</v>
      </c>
      <c r="D1069" s="12">
        <v>0</v>
      </c>
      <c r="J1069" s="10">
        <f t="shared" si="33"/>
        <v>0</v>
      </c>
    </row>
    <row r="1070" spans="1:10" x14ac:dyDescent="0.2">
      <c r="A1070" s="4" t="s">
        <v>1338</v>
      </c>
      <c r="B1070" s="4" t="s">
        <v>1022</v>
      </c>
      <c r="C1070" s="17" t="str">
        <f t="shared" si="32"/>
        <v>PE</v>
      </c>
      <c r="D1070" s="12">
        <v>0</v>
      </c>
      <c r="J1070" s="10">
        <f t="shared" si="33"/>
        <v>0</v>
      </c>
    </row>
    <row r="1071" spans="1:10" x14ac:dyDescent="0.2">
      <c r="A1071" s="4" t="s">
        <v>1339</v>
      </c>
      <c r="B1071" s="4" t="s">
        <v>1023</v>
      </c>
      <c r="C1071" s="17" t="str">
        <f t="shared" si="32"/>
        <v>PE</v>
      </c>
      <c r="D1071" s="12">
        <v>0</v>
      </c>
      <c r="J1071" s="10">
        <f t="shared" si="33"/>
        <v>0</v>
      </c>
    </row>
    <row r="1072" spans="1:10" x14ac:dyDescent="0.2">
      <c r="A1072" s="4" t="s">
        <v>1340</v>
      </c>
      <c r="B1072" s="4" t="s">
        <v>1024</v>
      </c>
      <c r="C1072" s="17" t="str">
        <f t="shared" si="32"/>
        <v>PE</v>
      </c>
      <c r="D1072" s="12">
        <v>0</v>
      </c>
      <c r="J1072" s="10">
        <f t="shared" si="33"/>
        <v>0</v>
      </c>
    </row>
    <row r="1073" spans="1:10" x14ac:dyDescent="0.2">
      <c r="A1073" s="4" t="s">
        <v>1341</v>
      </c>
      <c r="B1073" s="4" t="s">
        <v>1025</v>
      </c>
      <c r="C1073" s="17" t="str">
        <f t="shared" si="32"/>
        <v>PE</v>
      </c>
      <c r="D1073" s="12">
        <v>0</v>
      </c>
      <c r="J1073" s="10">
        <f t="shared" si="33"/>
        <v>0</v>
      </c>
    </row>
    <row r="1074" spans="1:10" x14ac:dyDescent="0.2">
      <c r="A1074" s="4" t="s">
        <v>1342</v>
      </c>
      <c r="B1074" s="4" t="s">
        <v>1026</v>
      </c>
      <c r="C1074" s="17" t="str">
        <f t="shared" si="32"/>
        <v>PE</v>
      </c>
      <c r="D1074" s="12">
        <v>0</v>
      </c>
      <c r="J1074" s="10">
        <f t="shared" si="33"/>
        <v>0</v>
      </c>
    </row>
    <row r="1075" spans="1:10" x14ac:dyDescent="0.2">
      <c r="A1075" s="4" t="s">
        <v>1343</v>
      </c>
      <c r="B1075" s="4" t="s">
        <v>1027</v>
      </c>
      <c r="C1075" s="17" t="str">
        <f t="shared" si="32"/>
        <v>PE</v>
      </c>
      <c r="D1075" s="12">
        <v>0</v>
      </c>
      <c r="J1075" s="10">
        <f t="shared" si="33"/>
        <v>0</v>
      </c>
    </row>
    <row r="1076" spans="1:10" x14ac:dyDescent="0.2">
      <c r="A1076" s="4" t="s">
        <v>1344</v>
      </c>
      <c r="B1076" s="4" t="s">
        <v>1028</v>
      </c>
      <c r="C1076" s="17" t="str">
        <f t="shared" si="32"/>
        <v>PE</v>
      </c>
      <c r="D1076" s="12">
        <v>0</v>
      </c>
      <c r="J1076" s="10">
        <f t="shared" si="33"/>
        <v>0</v>
      </c>
    </row>
    <row r="1077" spans="1:10" x14ac:dyDescent="0.2">
      <c r="A1077" s="4" t="s">
        <v>1345</v>
      </c>
      <c r="B1077" s="4" t="s">
        <v>1029</v>
      </c>
      <c r="C1077" s="17" t="str">
        <f t="shared" si="32"/>
        <v>PE</v>
      </c>
      <c r="D1077" s="12">
        <v>0</v>
      </c>
      <c r="J1077" s="10">
        <f t="shared" si="33"/>
        <v>0</v>
      </c>
    </row>
    <row r="1078" spans="1:10" x14ac:dyDescent="0.2">
      <c r="A1078" s="4" t="s">
        <v>1346</v>
      </c>
      <c r="B1078" s="4" t="s">
        <v>1029</v>
      </c>
      <c r="C1078" s="17" t="str">
        <f t="shared" si="32"/>
        <v>PE</v>
      </c>
      <c r="D1078" s="12">
        <v>0</v>
      </c>
      <c r="J1078" s="10">
        <f t="shared" si="33"/>
        <v>0</v>
      </c>
    </row>
    <row r="1079" spans="1:10" x14ac:dyDescent="0.2">
      <c r="A1079" s="4" t="s">
        <v>1347</v>
      </c>
      <c r="B1079" s="4" t="s">
        <v>1029</v>
      </c>
      <c r="C1079" s="17" t="str">
        <f t="shared" si="32"/>
        <v>PE</v>
      </c>
      <c r="D1079" s="12">
        <v>0</v>
      </c>
      <c r="J1079" s="10">
        <f t="shared" si="33"/>
        <v>0</v>
      </c>
    </row>
    <row r="1080" spans="1:10" x14ac:dyDescent="0.2">
      <c r="A1080" s="4" t="s">
        <v>1348</v>
      </c>
      <c r="B1080" s="4" t="s">
        <v>1029</v>
      </c>
      <c r="C1080" s="17" t="str">
        <f t="shared" si="32"/>
        <v>PE</v>
      </c>
      <c r="D1080" s="12">
        <v>0</v>
      </c>
      <c r="J1080" s="10">
        <f t="shared" si="33"/>
        <v>0</v>
      </c>
    </row>
    <row r="1081" spans="1:10" x14ac:dyDescent="0.2">
      <c r="A1081" s="4" t="s">
        <v>1349</v>
      </c>
      <c r="B1081" s="4" t="s">
        <v>1029</v>
      </c>
      <c r="C1081" s="17" t="str">
        <f t="shared" si="32"/>
        <v>PE</v>
      </c>
      <c r="D1081" s="12">
        <v>0</v>
      </c>
      <c r="J1081" s="10">
        <f t="shared" si="33"/>
        <v>0</v>
      </c>
    </row>
    <row r="1082" spans="1:10" x14ac:dyDescent="0.2">
      <c r="A1082" s="4" t="s">
        <v>1350</v>
      </c>
      <c r="B1082" s="4" t="s">
        <v>1029</v>
      </c>
      <c r="C1082" s="17" t="str">
        <f t="shared" si="32"/>
        <v>PE</v>
      </c>
      <c r="D1082" s="12">
        <v>0</v>
      </c>
      <c r="J1082" s="10">
        <f t="shared" si="33"/>
        <v>0</v>
      </c>
    </row>
    <row r="1083" spans="1:10" x14ac:dyDescent="0.2">
      <c r="A1083" s="4" t="s">
        <v>1351</v>
      </c>
      <c r="B1083" s="4" t="s">
        <v>1029</v>
      </c>
      <c r="C1083" s="17" t="str">
        <f t="shared" si="32"/>
        <v>PE</v>
      </c>
      <c r="D1083" s="12">
        <v>0</v>
      </c>
      <c r="J1083" s="10">
        <f t="shared" si="33"/>
        <v>0</v>
      </c>
    </row>
    <row r="1084" spans="1:10" x14ac:dyDescent="0.2">
      <c r="A1084" s="4" t="s">
        <v>1352</v>
      </c>
      <c r="B1084" s="4" t="s">
        <v>1029</v>
      </c>
      <c r="C1084" s="17" t="str">
        <f t="shared" si="32"/>
        <v>PE</v>
      </c>
      <c r="D1084" s="12">
        <v>0</v>
      </c>
      <c r="J1084" s="10">
        <f t="shared" si="33"/>
        <v>0</v>
      </c>
    </row>
    <row r="1085" spans="1:10" x14ac:dyDescent="0.2">
      <c r="A1085" s="4" t="s">
        <v>1353</v>
      </c>
      <c r="B1085" s="4" t="s">
        <v>1029</v>
      </c>
      <c r="C1085" s="17" t="str">
        <f t="shared" si="32"/>
        <v>PE</v>
      </c>
      <c r="D1085" s="12">
        <v>0</v>
      </c>
      <c r="J1085" s="10">
        <f t="shared" si="33"/>
        <v>0</v>
      </c>
    </row>
    <row r="1086" spans="1:10" x14ac:dyDescent="0.2">
      <c r="A1086" s="4" t="s">
        <v>1354</v>
      </c>
      <c r="B1086" s="4" t="s">
        <v>1029</v>
      </c>
      <c r="C1086" s="17" t="str">
        <f t="shared" si="32"/>
        <v>PE</v>
      </c>
      <c r="D1086" s="12">
        <v>0</v>
      </c>
      <c r="J1086" s="10">
        <f t="shared" si="33"/>
        <v>0</v>
      </c>
    </row>
    <row r="1087" spans="1:10" x14ac:dyDescent="0.2">
      <c r="A1087" s="4" t="s">
        <v>1355</v>
      </c>
      <c r="B1087" s="4" t="s">
        <v>1030</v>
      </c>
      <c r="C1087" s="17" t="str">
        <f t="shared" si="32"/>
        <v>PE</v>
      </c>
      <c r="D1087" s="12">
        <v>0</v>
      </c>
      <c r="J1087" s="10">
        <f t="shared" si="33"/>
        <v>0</v>
      </c>
    </row>
    <row r="1088" spans="1:10" x14ac:dyDescent="0.2">
      <c r="A1088" s="4" t="s">
        <v>1356</v>
      </c>
      <c r="B1088" s="4" t="s">
        <v>1030</v>
      </c>
      <c r="C1088" s="17" t="str">
        <f t="shared" si="32"/>
        <v>PE</v>
      </c>
      <c r="D1088" s="12">
        <v>0</v>
      </c>
      <c r="J1088" s="10">
        <f t="shared" si="33"/>
        <v>0</v>
      </c>
    </row>
    <row r="1089" spans="1:10" x14ac:dyDescent="0.2">
      <c r="A1089" s="4" t="s">
        <v>1357</v>
      </c>
      <c r="B1089" s="4" t="s">
        <v>1030</v>
      </c>
      <c r="C1089" s="17" t="str">
        <f t="shared" si="32"/>
        <v>PE</v>
      </c>
      <c r="D1089" s="12">
        <v>0</v>
      </c>
      <c r="J1089" s="10">
        <f t="shared" si="33"/>
        <v>0</v>
      </c>
    </row>
    <row r="1090" spans="1:10" x14ac:dyDescent="0.2">
      <c r="A1090" s="4" t="s">
        <v>1358</v>
      </c>
      <c r="B1090" s="4" t="s">
        <v>1030</v>
      </c>
      <c r="C1090" s="17" t="str">
        <f t="shared" ref="C1090:C1153" si="34">VLOOKUP(B1090, quota_order_numbers2, 6, FALSE)</f>
        <v>PE</v>
      </c>
      <c r="D1090" s="12">
        <v>0</v>
      </c>
      <c r="J1090" s="10">
        <f t="shared" ref="J1090:J1153" si="35">VLOOKUP(B1090, quota_order_numbers2, 2, FALSE)</f>
        <v>0</v>
      </c>
    </row>
    <row r="1091" spans="1:10" x14ac:dyDescent="0.2">
      <c r="A1091" s="4" t="s">
        <v>1359</v>
      </c>
      <c r="B1091" s="4" t="s">
        <v>1030</v>
      </c>
      <c r="C1091" s="17" t="str">
        <f t="shared" si="34"/>
        <v>PE</v>
      </c>
      <c r="D1091" s="12">
        <v>0</v>
      </c>
      <c r="J1091" s="10">
        <f t="shared" si="35"/>
        <v>0</v>
      </c>
    </row>
    <row r="1092" spans="1:10" x14ac:dyDescent="0.2">
      <c r="A1092" s="4" t="s">
        <v>1360</v>
      </c>
      <c r="B1092" s="4" t="s">
        <v>1030</v>
      </c>
      <c r="C1092" s="17" t="str">
        <f t="shared" si="34"/>
        <v>PE</v>
      </c>
      <c r="D1092" s="12">
        <v>0</v>
      </c>
      <c r="J1092" s="10">
        <f t="shared" si="35"/>
        <v>0</v>
      </c>
    </row>
    <row r="1093" spans="1:10" x14ac:dyDescent="0.2">
      <c r="A1093" s="4" t="s">
        <v>1361</v>
      </c>
      <c r="B1093" s="4" t="s">
        <v>1030</v>
      </c>
      <c r="C1093" s="17" t="str">
        <f t="shared" si="34"/>
        <v>PE</v>
      </c>
      <c r="D1093" s="12">
        <v>0</v>
      </c>
      <c r="J1093" s="10">
        <f t="shared" si="35"/>
        <v>0</v>
      </c>
    </row>
    <row r="1094" spans="1:10" x14ac:dyDescent="0.2">
      <c r="A1094" s="4" t="s">
        <v>1362</v>
      </c>
      <c r="B1094" s="4" t="s">
        <v>1030</v>
      </c>
      <c r="C1094" s="17" t="str">
        <f t="shared" si="34"/>
        <v>PE</v>
      </c>
      <c r="D1094" s="12">
        <v>0</v>
      </c>
      <c r="J1094" s="10">
        <f t="shared" si="35"/>
        <v>0</v>
      </c>
    </row>
    <row r="1095" spans="1:10" x14ac:dyDescent="0.2">
      <c r="A1095" s="4" t="s">
        <v>1363</v>
      </c>
      <c r="B1095" s="4" t="s">
        <v>1030</v>
      </c>
      <c r="C1095" s="17" t="str">
        <f t="shared" si="34"/>
        <v>PE</v>
      </c>
      <c r="D1095" s="12">
        <v>0</v>
      </c>
      <c r="J1095" s="10">
        <f t="shared" si="35"/>
        <v>0</v>
      </c>
    </row>
    <row r="1096" spans="1:10" x14ac:dyDescent="0.2">
      <c r="A1096" s="4" t="s">
        <v>1364</v>
      </c>
      <c r="B1096" s="4" t="s">
        <v>1031</v>
      </c>
      <c r="C1096" s="17" t="str">
        <f t="shared" si="34"/>
        <v>PE</v>
      </c>
      <c r="D1096" s="12">
        <v>0</v>
      </c>
      <c r="J1096" s="10">
        <f t="shared" si="35"/>
        <v>0</v>
      </c>
    </row>
    <row r="1097" spans="1:10" x14ac:dyDescent="0.2">
      <c r="A1097" s="4" t="s">
        <v>1365</v>
      </c>
      <c r="B1097" s="4" t="s">
        <v>1032</v>
      </c>
      <c r="C1097" s="17" t="str">
        <f t="shared" si="34"/>
        <v>PE</v>
      </c>
      <c r="D1097" s="12">
        <v>0</v>
      </c>
      <c r="J1097" s="10">
        <f t="shared" si="35"/>
        <v>0</v>
      </c>
    </row>
    <row r="1098" spans="1:10" x14ac:dyDescent="0.2">
      <c r="A1098" s="4" t="s">
        <v>882</v>
      </c>
      <c r="B1098" s="4" t="s">
        <v>1033</v>
      </c>
      <c r="C1098" s="17" t="str">
        <f t="shared" si="34"/>
        <v>PE</v>
      </c>
      <c r="D1098" s="12">
        <v>0</v>
      </c>
      <c r="J1098" s="10">
        <f t="shared" si="35"/>
        <v>0</v>
      </c>
    </row>
    <row r="1099" spans="1:10" x14ac:dyDescent="0.2">
      <c r="A1099" s="4" t="s">
        <v>425</v>
      </c>
      <c r="B1099" s="4" t="s">
        <v>1034</v>
      </c>
      <c r="C1099" s="17" t="str">
        <f t="shared" si="34"/>
        <v>PE</v>
      </c>
      <c r="D1099" s="12">
        <v>0</v>
      </c>
      <c r="J1099" s="10">
        <f t="shared" si="35"/>
        <v>0</v>
      </c>
    </row>
    <row r="1100" spans="1:10" x14ac:dyDescent="0.2">
      <c r="A1100" s="4" t="s">
        <v>1366</v>
      </c>
      <c r="B1100" s="4" t="s">
        <v>1035</v>
      </c>
      <c r="C1100" s="17" t="str">
        <f t="shared" si="34"/>
        <v>PE</v>
      </c>
      <c r="D1100" s="12">
        <v>0</v>
      </c>
      <c r="J1100" s="10">
        <f t="shared" si="35"/>
        <v>0</v>
      </c>
    </row>
    <row r="1101" spans="1:10" x14ac:dyDescent="0.2">
      <c r="A1101" s="4" t="s">
        <v>1311</v>
      </c>
      <c r="B1101" s="4" t="s">
        <v>1036</v>
      </c>
      <c r="C1101" s="17" t="str">
        <f t="shared" si="34"/>
        <v>PE</v>
      </c>
      <c r="D1101" s="12">
        <v>0</v>
      </c>
      <c r="J1101" s="10">
        <f t="shared" si="35"/>
        <v>0</v>
      </c>
    </row>
    <row r="1102" spans="1:10" x14ac:dyDescent="0.2">
      <c r="A1102" s="4" t="s">
        <v>1224</v>
      </c>
      <c r="B1102" s="4" t="s">
        <v>1037</v>
      </c>
      <c r="C1102" s="17" t="str">
        <f t="shared" si="34"/>
        <v>PE</v>
      </c>
      <c r="D1102" s="12">
        <v>0</v>
      </c>
      <c r="J1102" s="10">
        <f t="shared" si="35"/>
        <v>0</v>
      </c>
    </row>
    <row r="1103" spans="1:10" x14ac:dyDescent="0.2">
      <c r="A1103" s="4" t="s">
        <v>1225</v>
      </c>
      <c r="B1103" s="4" t="s">
        <v>1037</v>
      </c>
      <c r="C1103" s="17" t="str">
        <f t="shared" si="34"/>
        <v>PE</v>
      </c>
      <c r="D1103" s="12">
        <v>0</v>
      </c>
      <c r="J1103" s="10">
        <f t="shared" si="35"/>
        <v>0</v>
      </c>
    </row>
    <row r="1104" spans="1:10" x14ac:dyDescent="0.2">
      <c r="A1104" s="4" t="s">
        <v>1367</v>
      </c>
      <c r="B1104" s="4" t="s">
        <v>1038</v>
      </c>
      <c r="C1104" s="17" t="str">
        <f t="shared" si="34"/>
        <v>PE</v>
      </c>
      <c r="D1104" s="12">
        <v>0</v>
      </c>
      <c r="J1104" s="10">
        <f t="shared" si="35"/>
        <v>0</v>
      </c>
    </row>
    <row r="1105" spans="1:10" x14ac:dyDescent="0.2">
      <c r="A1105" s="4" t="s">
        <v>1368</v>
      </c>
      <c r="B1105" s="4" t="s">
        <v>1038</v>
      </c>
      <c r="C1105" s="17" t="str">
        <f t="shared" si="34"/>
        <v>PE</v>
      </c>
      <c r="D1105" s="12">
        <v>0</v>
      </c>
      <c r="J1105" s="10">
        <f t="shared" si="35"/>
        <v>0</v>
      </c>
    </row>
    <row r="1106" spans="1:10" x14ac:dyDescent="0.2">
      <c r="A1106" s="4" t="s">
        <v>1369</v>
      </c>
      <c r="B1106" s="4" t="s">
        <v>1038</v>
      </c>
      <c r="C1106" s="17" t="str">
        <f t="shared" si="34"/>
        <v>PE</v>
      </c>
      <c r="D1106" s="12">
        <v>0</v>
      </c>
      <c r="J1106" s="10">
        <f t="shared" si="35"/>
        <v>0</v>
      </c>
    </row>
    <row r="1107" spans="1:10" x14ac:dyDescent="0.2">
      <c r="A1107" s="4" t="s">
        <v>1310</v>
      </c>
      <c r="B1107" s="4" t="s">
        <v>1038</v>
      </c>
      <c r="C1107" s="17" t="str">
        <f t="shared" si="34"/>
        <v>PE</v>
      </c>
      <c r="D1107" s="12">
        <v>0</v>
      </c>
      <c r="J1107" s="10">
        <f t="shared" si="35"/>
        <v>0</v>
      </c>
    </row>
    <row r="1108" spans="1:10" x14ac:dyDescent="0.2">
      <c r="A1108" s="4" t="s">
        <v>1370</v>
      </c>
      <c r="B1108" s="4" t="s">
        <v>1039</v>
      </c>
      <c r="C1108" s="17" t="str">
        <f t="shared" si="34"/>
        <v>PE</v>
      </c>
      <c r="D1108" s="12">
        <v>0</v>
      </c>
      <c r="J1108" s="10">
        <f t="shared" si="35"/>
        <v>0</v>
      </c>
    </row>
    <row r="1109" spans="1:10" x14ac:dyDescent="0.2">
      <c r="A1109" s="4" t="s">
        <v>294</v>
      </c>
      <c r="B1109" s="4" t="s">
        <v>1040</v>
      </c>
      <c r="C1109" s="17" t="str">
        <f t="shared" si="34"/>
        <v>PE</v>
      </c>
      <c r="D1109" s="12">
        <v>0</v>
      </c>
      <c r="J1109" s="10">
        <f t="shared" si="35"/>
        <v>0</v>
      </c>
    </row>
    <row r="1110" spans="1:10" x14ac:dyDescent="0.2">
      <c r="A1110" s="4" t="s">
        <v>295</v>
      </c>
      <c r="B1110" s="4" t="s">
        <v>1040</v>
      </c>
      <c r="C1110" s="17" t="str">
        <f t="shared" si="34"/>
        <v>PE</v>
      </c>
      <c r="D1110" s="12">
        <v>0</v>
      </c>
      <c r="J1110" s="10">
        <f t="shared" si="35"/>
        <v>0</v>
      </c>
    </row>
    <row r="1111" spans="1:10" x14ac:dyDescent="0.2">
      <c r="A1111" s="4" t="s">
        <v>296</v>
      </c>
      <c r="B1111" s="4" t="s">
        <v>1040</v>
      </c>
      <c r="C1111" s="17" t="str">
        <f t="shared" si="34"/>
        <v>PE</v>
      </c>
      <c r="D1111" s="12">
        <v>0</v>
      </c>
      <c r="J1111" s="10">
        <f t="shared" si="35"/>
        <v>0</v>
      </c>
    </row>
    <row r="1112" spans="1:10" x14ac:dyDescent="0.2">
      <c r="A1112" s="4" t="s">
        <v>297</v>
      </c>
      <c r="B1112" s="4" t="s">
        <v>1040</v>
      </c>
      <c r="C1112" s="17" t="str">
        <f t="shared" si="34"/>
        <v>PE</v>
      </c>
      <c r="D1112" s="12">
        <v>0</v>
      </c>
      <c r="J1112" s="10">
        <f t="shared" si="35"/>
        <v>0</v>
      </c>
    </row>
    <row r="1113" spans="1:10" x14ac:dyDescent="0.2">
      <c r="A1113" s="4" t="s">
        <v>298</v>
      </c>
      <c r="B1113" s="4" t="s">
        <v>1040</v>
      </c>
      <c r="C1113" s="17" t="str">
        <f t="shared" si="34"/>
        <v>PE</v>
      </c>
      <c r="D1113" s="12">
        <v>0</v>
      </c>
      <c r="J1113" s="10">
        <f t="shared" si="35"/>
        <v>0</v>
      </c>
    </row>
    <row r="1114" spans="1:10" x14ac:dyDescent="0.2">
      <c r="A1114" s="4" t="s">
        <v>299</v>
      </c>
      <c r="B1114" s="4" t="s">
        <v>1040</v>
      </c>
      <c r="C1114" s="17" t="str">
        <f t="shared" si="34"/>
        <v>PE</v>
      </c>
      <c r="D1114" s="12">
        <v>0</v>
      </c>
      <c r="J1114" s="10">
        <f t="shared" si="35"/>
        <v>0</v>
      </c>
    </row>
    <row r="1115" spans="1:10" x14ac:dyDescent="0.2">
      <c r="A1115" s="4" t="s">
        <v>300</v>
      </c>
      <c r="B1115" s="4" t="s">
        <v>1040</v>
      </c>
      <c r="C1115" s="17" t="str">
        <f t="shared" si="34"/>
        <v>PE</v>
      </c>
      <c r="D1115" s="12">
        <v>0</v>
      </c>
      <c r="J1115" s="10">
        <f t="shared" si="35"/>
        <v>0</v>
      </c>
    </row>
    <row r="1116" spans="1:10" x14ac:dyDescent="0.2">
      <c r="A1116" s="4" t="s">
        <v>301</v>
      </c>
      <c r="B1116" s="4" t="s">
        <v>1040</v>
      </c>
      <c r="C1116" s="17" t="str">
        <f t="shared" si="34"/>
        <v>PE</v>
      </c>
      <c r="D1116" s="12">
        <v>0</v>
      </c>
      <c r="J1116" s="10">
        <f t="shared" si="35"/>
        <v>0</v>
      </c>
    </row>
    <row r="1117" spans="1:10" x14ac:dyDescent="0.2">
      <c r="A1117" s="4" t="s">
        <v>302</v>
      </c>
      <c r="B1117" s="4" t="s">
        <v>1040</v>
      </c>
      <c r="C1117" s="17" t="str">
        <f t="shared" si="34"/>
        <v>PE</v>
      </c>
      <c r="D1117" s="12">
        <v>0</v>
      </c>
      <c r="J1117" s="10">
        <f t="shared" si="35"/>
        <v>0</v>
      </c>
    </row>
    <row r="1118" spans="1:10" x14ac:dyDescent="0.2">
      <c r="A1118" s="4" t="s">
        <v>303</v>
      </c>
      <c r="B1118" s="4" t="s">
        <v>1040</v>
      </c>
      <c r="C1118" s="17" t="str">
        <f t="shared" si="34"/>
        <v>PE</v>
      </c>
      <c r="D1118" s="12">
        <v>0</v>
      </c>
      <c r="J1118" s="10">
        <f t="shared" si="35"/>
        <v>0</v>
      </c>
    </row>
    <row r="1119" spans="1:10" x14ac:dyDescent="0.2">
      <c r="A1119" s="4" t="s">
        <v>304</v>
      </c>
      <c r="B1119" s="4" t="s">
        <v>1040</v>
      </c>
      <c r="C1119" s="17" t="str">
        <f t="shared" si="34"/>
        <v>PE</v>
      </c>
      <c r="D1119" s="12">
        <v>0</v>
      </c>
      <c r="J1119" s="10">
        <f t="shared" si="35"/>
        <v>0</v>
      </c>
    </row>
    <row r="1120" spans="1:10" x14ac:dyDescent="0.2">
      <c r="A1120" s="4" t="s">
        <v>305</v>
      </c>
      <c r="B1120" s="4" t="s">
        <v>1040</v>
      </c>
      <c r="C1120" s="17" t="str">
        <f t="shared" si="34"/>
        <v>PE</v>
      </c>
      <c r="D1120" s="12">
        <v>0</v>
      </c>
      <c r="J1120" s="10">
        <f t="shared" si="35"/>
        <v>0</v>
      </c>
    </row>
    <row r="1121" spans="1:10" x14ac:dyDescent="0.2">
      <c r="A1121" s="4" t="s">
        <v>306</v>
      </c>
      <c r="B1121" s="4" t="s">
        <v>1040</v>
      </c>
      <c r="C1121" s="17" t="str">
        <f t="shared" si="34"/>
        <v>PE</v>
      </c>
      <c r="D1121" s="12">
        <v>0</v>
      </c>
      <c r="J1121" s="10">
        <f t="shared" si="35"/>
        <v>0</v>
      </c>
    </row>
    <row r="1122" spans="1:10" x14ac:dyDescent="0.2">
      <c r="A1122" s="4" t="s">
        <v>307</v>
      </c>
      <c r="B1122" s="4" t="s">
        <v>1040</v>
      </c>
      <c r="C1122" s="17" t="str">
        <f t="shared" si="34"/>
        <v>PE</v>
      </c>
      <c r="D1122" s="12">
        <v>0</v>
      </c>
      <c r="J1122" s="10">
        <f t="shared" si="35"/>
        <v>0</v>
      </c>
    </row>
    <row r="1123" spans="1:10" x14ac:dyDescent="0.2">
      <c r="A1123" s="4" t="s">
        <v>308</v>
      </c>
      <c r="B1123" s="4" t="s">
        <v>1040</v>
      </c>
      <c r="C1123" s="17" t="str">
        <f t="shared" si="34"/>
        <v>PE</v>
      </c>
      <c r="D1123" s="12">
        <v>0</v>
      </c>
      <c r="J1123" s="10">
        <f t="shared" si="35"/>
        <v>0</v>
      </c>
    </row>
    <row r="1124" spans="1:10" x14ac:dyDescent="0.2">
      <c r="A1124" s="4" t="s">
        <v>309</v>
      </c>
      <c r="B1124" s="4" t="s">
        <v>1040</v>
      </c>
      <c r="C1124" s="17" t="str">
        <f t="shared" si="34"/>
        <v>PE</v>
      </c>
      <c r="D1124" s="12">
        <v>0</v>
      </c>
      <c r="J1124" s="10">
        <f t="shared" si="35"/>
        <v>0</v>
      </c>
    </row>
    <row r="1125" spans="1:10" x14ac:dyDescent="0.2">
      <c r="A1125" s="4" t="s">
        <v>330</v>
      </c>
      <c r="B1125" s="4" t="s">
        <v>1041</v>
      </c>
      <c r="C1125" s="17" t="str">
        <f t="shared" si="34"/>
        <v>PE</v>
      </c>
      <c r="D1125" s="12">
        <v>0</v>
      </c>
      <c r="J1125" s="10">
        <f t="shared" si="35"/>
        <v>0</v>
      </c>
    </row>
    <row r="1126" spans="1:10" x14ac:dyDescent="0.2">
      <c r="A1126" s="4" t="s">
        <v>331</v>
      </c>
      <c r="B1126" s="4" t="s">
        <v>1041</v>
      </c>
      <c r="C1126" s="17" t="str">
        <f t="shared" si="34"/>
        <v>PE</v>
      </c>
      <c r="D1126" s="12">
        <v>0</v>
      </c>
      <c r="J1126" s="10">
        <f t="shared" si="35"/>
        <v>0</v>
      </c>
    </row>
    <row r="1127" spans="1:10" x14ac:dyDescent="0.2">
      <c r="A1127" s="4" t="s">
        <v>332</v>
      </c>
      <c r="B1127" s="4" t="s">
        <v>1041</v>
      </c>
      <c r="C1127" s="17" t="str">
        <f t="shared" si="34"/>
        <v>PE</v>
      </c>
      <c r="D1127" s="12">
        <v>0</v>
      </c>
      <c r="J1127" s="10">
        <f t="shared" si="35"/>
        <v>0</v>
      </c>
    </row>
    <row r="1128" spans="1:10" x14ac:dyDescent="0.2">
      <c r="A1128" s="4" t="s">
        <v>333</v>
      </c>
      <c r="B1128" s="4" t="s">
        <v>1041</v>
      </c>
      <c r="C1128" s="17" t="str">
        <f t="shared" si="34"/>
        <v>PE</v>
      </c>
      <c r="D1128" s="12">
        <v>0</v>
      </c>
      <c r="J1128" s="10">
        <f t="shared" si="35"/>
        <v>0</v>
      </c>
    </row>
    <row r="1129" spans="1:10" x14ac:dyDescent="0.2">
      <c r="A1129" s="4" t="s">
        <v>334</v>
      </c>
      <c r="B1129" s="4" t="s">
        <v>1041</v>
      </c>
      <c r="C1129" s="17" t="str">
        <f t="shared" si="34"/>
        <v>PE</v>
      </c>
      <c r="D1129" s="12">
        <v>0</v>
      </c>
      <c r="J1129" s="10">
        <f t="shared" si="35"/>
        <v>0</v>
      </c>
    </row>
    <row r="1130" spans="1:10" x14ac:dyDescent="0.2">
      <c r="A1130" s="4" t="s">
        <v>335</v>
      </c>
      <c r="B1130" s="4" t="s">
        <v>1041</v>
      </c>
      <c r="C1130" s="17" t="str">
        <f t="shared" si="34"/>
        <v>PE</v>
      </c>
      <c r="D1130" s="12">
        <v>0</v>
      </c>
      <c r="J1130" s="10">
        <f t="shared" si="35"/>
        <v>0</v>
      </c>
    </row>
    <row r="1131" spans="1:10" x14ac:dyDescent="0.2">
      <c r="A1131" s="4" t="s">
        <v>336</v>
      </c>
      <c r="B1131" s="4" t="s">
        <v>1041</v>
      </c>
      <c r="C1131" s="17" t="str">
        <f t="shared" si="34"/>
        <v>PE</v>
      </c>
      <c r="D1131" s="12">
        <v>0</v>
      </c>
      <c r="J1131" s="10">
        <f t="shared" si="35"/>
        <v>0</v>
      </c>
    </row>
    <row r="1132" spans="1:10" x14ac:dyDescent="0.2">
      <c r="A1132" s="4" t="s">
        <v>337</v>
      </c>
      <c r="B1132" s="4" t="s">
        <v>1041</v>
      </c>
      <c r="C1132" s="17" t="str">
        <f t="shared" si="34"/>
        <v>PE</v>
      </c>
      <c r="D1132" s="12">
        <v>0</v>
      </c>
      <c r="J1132" s="10">
        <f t="shared" si="35"/>
        <v>0</v>
      </c>
    </row>
    <row r="1133" spans="1:10" x14ac:dyDescent="0.2">
      <c r="A1133" s="4" t="s">
        <v>338</v>
      </c>
      <c r="B1133" s="4" t="s">
        <v>1041</v>
      </c>
      <c r="C1133" s="17" t="str">
        <f t="shared" si="34"/>
        <v>PE</v>
      </c>
      <c r="D1133" s="12">
        <v>0</v>
      </c>
      <c r="J1133" s="10">
        <f t="shared" si="35"/>
        <v>0</v>
      </c>
    </row>
    <row r="1134" spans="1:10" x14ac:dyDescent="0.2">
      <c r="A1134" s="4" t="s">
        <v>339</v>
      </c>
      <c r="B1134" s="4" t="s">
        <v>1041</v>
      </c>
      <c r="C1134" s="17" t="str">
        <f t="shared" si="34"/>
        <v>PE</v>
      </c>
      <c r="D1134" s="12">
        <v>0</v>
      </c>
      <c r="J1134" s="10">
        <f t="shared" si="35"/>
        <v>0</v>
      </c>
    </row>
    <row r="1135" spans="1:10" x14ac:dyDescent="0.2">
      <c r="A1135" s="4" t="s">
        <v>340</v>
      </c>
      <c r="B1135" s="4" t="s">
        <v>1041</v>
      </c>
      <c r="C1135" s="17" t="str">
        <f t="shared" si="34"/>
        <v>PE</v>
      </c>
      <c r="D1135" s="12">
        <v>0</v>
      </c>
      <c r="J1135" s="10">
        <f t="shared" si="35"/>
        <v>0</v>
      </c>
    </row>
    <row r="1136" spans="1:10" x14ac:dyDescent="0.2">
      <c r="A1136" s="4" t="s">
        <v>341</v>
      </c>
      <c r="B1136" s="4" t="s">
        <v>1041</v>
      </c>
      <c r="C1136" s="17" t="str">
        <f t="shared" si="34"/>
        <v>PE</v>
      </c>
      <c r="D1136" s="12">
        <v>0</v>
      </c>
      <c r="J1136" s="10">
        <f t="shared" si="35"/>
        <v>0</v>
      </c>
    </row>
    <row r="1137" spans="1:10" x14ac:dyDescent="0.2">
      <c r="A1137" s="4" t="s">
        <v>342</v>
      </c>
      <c r="B1137" s="4" t="s">
        <v>1041</v>
      </c>
      <c r="C1137" s="17" t="str">
        <f t="shared" si="34"/>
        <v>PE</v>
      </c>
      <c r="D1137" s="12">
        <v>0</v>
      </c>
      <c r="J1137" s="10">
        <f t="shared" si="35"/>
        <v>0</v>
      </c>
    </row>
    <row r="1138" spans="1:10" x14ac:dyDescent="0.2">
      <c r="A1138" s="4" t="s">
        <v>343</v>
      </c>
      <c r="B1138" s="4" t="s">
        <v>1041</v>
      </c>
      <c r="C1138" s="17" t="str">
        <f t="shared" si="34"/>
        <v>PE</v>
      </c>
      <c r="D1138" s="12">
        <v>0</v>
      </c>
      <c r="J1138" s="10">
        <f t="shared" si="35"/>
        <v>0</v>
      </c>
    </row>
    <row r="1139" spans="1:10" x14ac:dyDescent="0.2">
      <c r="A1139" s="4" t="s">
        <v>344</v>
      </c>
      <c r="B1139" s="4" t="s">
        <v>1041</v>
      </c>
      <c r="C1139" s="17" t="str">
        <f t="shared" si="34"/>
        <v>PE</v>
      </c>
      <c r="D1139" s="12">
        <v>0</v>
      </c>
      <c r="J1139" s="10">
        <f t="shared" si="35"/>
        <v>0</v>
      </c>
    </row>
    <row r="1140" spans="1:10" x14ac:dyDescent="0.2">
      <c r="A1140" s="4" t="s">
        <v>345</v>
      </c>
      <c r="B1140" s="4" t="s">
        <v>1041</v>
      </c>
      <c r="C1140" s="17" t="str">
        <f t="shared" si="34"/>
        <v>PE</v>
      </c>
      <c r="D1140" s="12">
        <v>0</v>
      </c>
      <c r="J1140" s="10">
        <f t="shared" si="35"/>
        <v>0</v>
      </c>
    </row>
    <row r="1141" spans="1:10" x14ac:dyDescent="0.2">
      <c r="A1141" s="4" t="s">
        <v>346</v>
      </c>
      <c r="B1141" s="4" t="s">
        <v>1041</v>
      </c>
      <c r="C1141" s="17" t="str">
        <f t="shared" si="34"/>
        <v>PE</v>
      </c>
      <c r="D1141" s="12">
        <v>0</v>
      </c>
      <c r="J1141" s="10">
        <f t="shared" si="35"/>
        <v>0</v>
      </c>
    </row>
    <row r="1142" spans="1:10" x14ac:dyDescent="0.2">
      <c r="A1142" s="4" t="s">
        <v>347</v>
      </c>
      <c r="B1142" s="4" t="s">
        <v>1041</v>
      </c>
      <c r="C1142" s="17" t="str">
        <f t="shared" si="34"/>
        <v>PE</v>
      </c>
      <c r="D1142" s="12">
        <v>0</v>
      </c>
      <c r="J1142" s="10">
        <f t="shared" si="35"/>
        <v>0</v>
      </c>
    </row>
    <row r="1143" spans="1:10" x14ac:dyDescent="0.2">
      <c r="A1143" s="4" t="s">
        <v>348</v>
      </c>
      <c r="B1143" s="4" t="s">
        <v>1041</v>
      </c>
      <c r="C1143" s="17" t="str">
        <f t="shared" si="34"/>
        <v>PE</v>
      </c>
      <c r="D1143" s="12">
        <v>0</v>
      </c>
      <c r="J1143" s="10">
        <f t="shared" si="35"/>
        <v>0</v>
      </c>
    </row>
    <row r="1144" spans="1:10" x14ac:dyDescent="0.2">
      <c r="A1144" s="4" t="s">
        <v>349</v>
      </c>
      <c r="B1144" s="4" t="s">
        <v>1041</v>
      </c>
      <c r="C1144" s="17" t="str">
        <f t="shared" si="34"/>
        <v>PE</v>
      </c>
      <c r="D1144" s="12">
        <v>0</v>
      </c>
      <c r="J1144" s="10">
        <f t="shared" si="35"/>
        <v>0</v>
      </c>
    </row>
    <row r="1145" spans="1:10" x14ac:dyDescent="0.2">
      <c r="A1145" s="4" t="s">
        <v>350</v>
      </c>
      <c r="B1145" s="4" t="s">
        <v>1041</v>
      </c>
      <c r="C1145" s="17" t="str">
        <f t="shared" si="34"/>
        <v>PE</v>
      </c>
      <c r="D1145" s="12">
        <v>0</v>
      </c>
      <c r="J1145" s="10">
        <f t="shared" si="35"/>
        <v>0</v>
      </c>
    </row>
    <row r="1146" spans="1:10" x14ac:dyDescent="0.2">
      <c r="A1146" s="4" t="s">
        <v>351</v>
      </c>
      <c r="B1146" s="4" t="s">
        <v>1041</v>
      </c>
      <c r="C1146" s="17" t="str">
        <f t="shared" si="34"/>
        <v>PE</v>
      </c>
      <c r="D1146" s="12">
        <v>0</v>
      </c>
      <c r="J1146" s="10">
        <f t="shared" si="35"/>
        <v>0</v>
      </c>
    </row>
    <row r="1147" spans="1:10" x14ac:dyDescent="0.2">
      <c r="A1147" s="4" t="s">
        <v>352</v>
      </c>
      <c r="B1147" s="4" t="s">
        <v>1041</v>
      </c>
      <c r="C1147" s="17" t="str">
        <f t="shared" si="34"/>
        <v>PE</v>
      </c>
      <c r="D1147" s="12">
        <v>0</v>
      </c>
      <c r="J1147" s="10">
        <f t="shared" si="35"/>
        <v>0</v>
      </c>
    </row>
    <row r="1148" spans="1:10" x14ac:dyDescent="0.2">
      <c r="A1148" s="4" t="s">
        <v>353</v>
      </c>
      <c r="B1148" s="4" t="s">
        <v>1041</v>
      </c>
      <c r="C1148" s="17" t="str">
        <f t="shared" si="34"/>
        <v>PE</v>
      </c>
      <c r="D1148" s="12">
        <v>0</v>
      </c>
      <c r="J1148" s="10">
        <f t="shared" si="35"/>
        <v>0</v>
      </c>
    </row>
    <row r="1149" spans="1:10" x14ac:dyDescent="0.2">
      <c r="A1149" s="4" t="s">
        <v>354</v>
      </c>
      <c r="B1149" s="4" t="s">
        <v>1041</v>
      </c>
      <c r="C1149" s="17" t="str">
        <f t="shared" si="34"/>
        <v>PE</v>
      </c>
      <c r="D1149" s="12">
        <v>0</v>
      </c>
      <c r="J1149" s="10">
        <f t="shared" si="35"/>
        <v>0</v>
      </c>
    </row>
    <row r="1150" spans="1:10" x14ac:dyDescent="0.2">
      <c r="A1150" s="4" t="s">
        <v>355</v>
      </c>
      <c r="B1150" s="4" t="s">
        <v>1041</v>
      </c>
      <c r="C1150" s="17" t="str">
        <f t="shared" si="34"/>
        <v>PE</v>
      </c>
      <c r="D1150" s="12">
        <v>0</v>
      </c>
      <c r="J1150" s="10">
        <f t="shared" si="35"/>
        <v>0</v>
      </c>
    </row>
    <row r="1151" spans="1:10" x14ac:dyDescent="0.2">
      <c r="A1151" s="4" t="s">
        <v>356</v>
      </c>
      <c r="B1151" s="4" t="s">
        <v>1041</v>
      </c>
      <c r="C1151" s="17" t="str">
        <f t="shared" si="34"/>
        <v>PE</v>
      </c>
      <c r="D1151" s="12">
        <v>0</v>
      </c>
      <c r="J1151" s="10">
        <f t="shared" si="35"/>
        <v>0</v>
      </c>
    </row>
    <row r="1152" spans="1:10" x14ac:dyDescent="0.2">
      <c r="A1152" s="4" t="s">
        <v>357</v>
      </c>
      <c r="B1152" s="4" t="s">
        <v>1041</v>
      </c>
      <c r="C1152" s="17" t="str">
        <f t="shared" si="34"/>
        <v>PE</v>
      </c>
      <c r="D1152" s="12">
        <v>0</v>
      </c>
      <c r="J1152" s="10">
        <f t="shared" si="35"/>
        <v>0</v>
      </c>
    </row>
    <row r="1153" spans="1:10" x14ac:dyDescent="0.2">
      <c r="A1153" s="4" t="s">
        <v>358</v>
      </c>
      <c r="B1153" s="4" t="s">
        <v>1041</v>
      </c>
      <c r="C1153" s="17" t="str">
        <f t="shared" si="34"/>
        <v>PE</v>
      </c>
      <c r="D1153" s="12">
        <v>0</v>
      </c>
      <c r="J1153" s="10">
        <f t="shared" si="35"/>
        <v>0</v>
      </c>
    </row>
    <row r="1154" spans="1:10" x14ac:dyDescent="0.2">
      <c r="A1154" s="4" t="s">
        <v>359</v>
      </c>
      <c r="B1154" s="4" t="s">
        <v>1041</v>
      </c>
      <c r="C1154" s="17" t="str">
        <f t="shared" ref="C1154:C1217" si="36">VLOOKUP(B1154, quota_order_numbers2, 6, FALSE)</f>
        <v>PE</v>
      </c>
      <c r="D1154" s="12">
        <v>0</v>
      </c>
      <c r="J1154" s="10">
        <f t="shared" ref="J1154:J1217" si="37">VLOOKUP(B1154, quota_order_numbers2, 2, FALSE)</f>
        <v>0</v>
      </c>
    </row>
    <row r="1155" spans="1:10" x14ac:dyDescent="0.2">
      <c r="A1155" s="4" t="s">
        <v>360</v>
      </c>
      <c r="B1155" s="4" t="s">
        <v>1041</v>
      </c>
      <c r="C1155" s="17" t="str">
        <f t="shared" si="36"/>
        <v>PE</v>
      </c>
      <c r="D1155" s="12">
        <v>0</v>
      </c>
      <c r="J1155" s="10">
        <f t="shared" si="37"/>
        <v>0</v>
      </c>
    </row>
    <row r="1156" spans="1:10" x14ac:dyDescent="0.2">
      <c r="A1156" s="4" t="s">
        <v>361</v>
      </c>
      <c r="B1156" s="4" t="s">
        <v>1041</v>
      </c>
      <c r="C1156" s="17" t="str">
        <f t="shared" si="36"/>
        <v>PE</v>
      </c>
      <c r="D1156" s="12">
        <v>0</v>
      </c>
      <c r="J1156" s="10">
        <f t="shared" si="37"/>
        <v>0</v>
      </c>
    </row>
    <row r="1157" spans="1:10" x14ac:dyDescent="0.2">
      <c r="A1157" s="4" t="s">
        <v>362</v>
      </c>
      <c r="B1157" s="4" t="s">
        <v>1041</v>
      </c>
      <c r="C1157" s="17" t="str">
        <f t="shared" si="36"/>
        <v>PE</v>
      </c>
      <c r="D1157" s="12">
        <v>0</v>
      </c>
      <c r="J1157" s="10">
        <f t="shared" si="37"/>
        <v>0</v>
      </c>
    </row>
    <row r="1158" spans="1:10" x14ac:dyDescent="0.2">
      <c r="A1158" s="4" t="s">
        <v>363</v>
      </c>
      <c r="B1158" s="4" t="s">
        <v>1041</v>
      </c>
      <c r="C1158" s="17" t="str">
        <f t="shared" si="36"/>
        <v>PE</v>
      </c>
      <c r="D1158" s="12">
        <v>0</v>
      </c>
      <c r="J1158" s="10">
        <f t="shared" si="37"/>
        <v>0</v>
      </c>
    </row>
    <row r="1159" spans="1:10" x14ac:dyDescent="0.2">
      <c r="A1159" s="4" t="s">
        <v>364</v>
      </c>
      <c r="B1159" s="4" t="s">
        <v>1041</v>
      </c>
      <c r="C1159" s="17" t="str">
        <f t="shared" si="36"/>
        <v>PE</v>
      </c>
      <c r="D1159" s="12">
        <v>0</v>
      </c>
      <c r="J1159" s="10">
        <f t="shared" si="37"/>
        <v>0</v>
      </c>
    </row>
    <row r="1160" spans="1:10" x14ac:dyDescent="0.2">
      <c r="A1160" s="4" t="s">
        <v>365</v>
      </c>
      <c r="B1160" s="4" t="s">
        <v>1041</v>
      </c>
      <c r="C1160" s="17" t="str">
        <f t="shared" si="36"/>
        <v>PE</v>
      </c>
      <c r="D1160" s="12">
        <v>0</v>
      </c>
      <c r="J1160" s="10">
        <f t="shared" si="37"/>
        <v>0</v>
      </c>
    </row>
    <row r="1161" spans="1:10" x14ac:dyDescent="0.2">
      <c r="A1161" s="4" t="s">
        <v>366</v>
      </c>
      <c r="B1161" s="4" t="s">
        <v>1041</v>
      </c>
      <c r="C1161" s="17" t="str">
        <f t="shared" si="36"/>
        <v>PE</v>
      </c>
      <c r="D1161" s="12">
        <v>0</v>
      </c>
      <c r="J1161" s="10">
        <f t="shared" si="37"/>
        <v>0</v>
      </c>
    </row>
    <row r="1162" spans="1:10" x14ac:dyDescent="0.2">
      <c r="A1162" s="4" t="s">
        <v>367</v>
      </c>
      <c r="B1162" s="4" t="s">
        <v>1041</v>
      </c>
      <c r="C1162" s="17" t="str">
        <f t="shared" si="36"/>
        <v>PE</v>
      </c>
      <c r="D1162" s="12">
        <v>0</v>
      </c>
      <c r="J1162" s="10">
        <f t="shared" si="37"/>
        <v>0</v>
      </c>
    </row>
    <row r="1163" spans="1:10" x14ac:dyDescent="0.2">
      <c r="A1163" s="4" t="s">
        <v>1371</v>
      </c>
      <c r="B1163" s="4" t="s">
        <v>1041</v>
      </c>
      <c r="C1163" s="17" t="str">
        <f t="shared" si="36"/>
        <v>PE</v>
      </c>
      <c r="D1163" s="12">
        <v>0</v>
      </c>
      <c r="J1163" s="10">
        <f t="shared" si="37"/>
        <v>0</v>
      </c>
    </row>
    <row r="1164" spans="1:10" x14ac:dyDescent="0.2">
      <c r="A1164" s="4" t="s">
        <v>1372</v>
      </c>
      <c r="B1164" s="4" t="s">
        <v>1041</v>
      </c>
      <c r="C1164" s="17" t="str">
        <f t="shared" si="36"/>
        <v>PE</v>
      </c>
      <c r="D1164" s="12">
        <v>0</v>
      </c>
      <c r="J1164" s="10">
        <f t="shared" si="37"/>
        <v>0</v>
      </c>
    </row>
    <row r="1165" spans="1:10" x14ac:dyDescent="0.2">
      <c r="A1165" s="4" t="s">
        <v>373</v>
      </c>
      <c r="B1165" s="4" t="s">
        <v>1041</v>
      </c>
      <c r="C1165" s="17" t="str">
        <f t="shared" si="36"/>
        <v>PE</v>
      </c>
      <c r="D1165" s="12">
        <v>0</v>
      </c>
      <c r="J1165" s="10">
        <f t="shared" si="37"/>
        <v>0</v>
      </c>
    </row>
    <row r="1166" spans="1:10" x14ac:dyDescent="0.2">
      <c r="A1166" s="4" t="s">
        <v>374</v>
      </c>
      <c r="B1166" s="4" t="s">
        <v>1041</v>
      </c>
      <c r="C1166" s="17" t="str">
        <f t="shared" si="36"/>
        <v>PE</v>
      </c>
      <c r="D1166" s="12">
        <v>0</v>
      </c>
      <c r="J1166" s="10">
        <f t="shared" si="37"/>
        <v>0</v>
      </c>
    </row>
    <row r="1167" spans="1:10" x14ac:dyDescent="0.2">
      <c r="A1167" s="4" t="s">
        <v>649</v>
      </c>
      <c r="B1167" s="4" t="s">
        <v>1041</v>
      </c>
      <c r="C1167" s="17" t="str">
        <f t="shared" si="36"/>
        <v>PE</v>
      </c>
      <c r="D1167" s="12">
        <v>0</v>
      </c>
      <c r="J1167" s="10">
        <f t="shared" si="37"/>
        <v>0</v>
      </c>
    </row>
    <row r="1168" spans="1:10" x14ac:dyDescent="0.2">
      <c r="A1168" s="4" t="s">
        <v>650</v>
      </c>
      <c r="B1168" s="4" t="s">
        <v>1041</v>
      </c>
      <c r="C1168" s="17" t="str">
        <f t="shared" si="36"/>
        <v>PE</v>
      </c>
      <c r="D1168" s="12">
        <v>0</v>
      </c>
      <c r="J1168" s="10">
        <f t="shared" si="37"/>
        <v>0</v>
      </c>
    </row>
    <row r="1169" spans="1:10" x14ac:dyDescent="0.2">
      <c r="A1169" s="4" t="s">
        <v>375</v>
      </c>
      <c r="B1169" s="4" t="s">
        <v>1041</v>
      </c>
      <c r="C1169" s="17" t="str">
        <f t="shared" si="36"/>
        <v>PE</v>
      </c>
      <c r="D1169" s="12">
        <v>0</v>
      </c>
      <c r="J1169" s="10">
        <f t="shared" si="37"/>
        <v>0</v>
      </c>
    </row>
    <row r="1170" spans="1:10" x14ac:dyDescent="0.2">
      <c r="A1170" s="4" t="s">
        <v>376</v>
      </c>
      <c r="B1170" s="4" t="s">
        <v>1041</v>
      </c>
      <c r="C1170" s="17" t="str">
        <f t="shared" si="36"/>
        <v>PE</v>
      </c>
      <c r="D1170" s="12">
        <v>0</v>
      </c>
      <c r="J1170" s="10">
        <f t="shared" si="37"/>
        <v>0</v>
      </c>
    </row>
    <row r="1171" spans="1:10" x14ac:dyDescent="0.2">
      <c r="A1171" s="4" t="s">
        <v>377</v>
      </c>
      <c r="B1171" s="4" t="s">
        <v>1041</v>
      </c>
      <c r="C1171" s="17" t="str">
        <f t="shared" si="36"/>
        <v>PE</v>
      </c>
      <c r="D1171" s="12">
        <v>0</v>
      </c>
      <c r="J1171" s="10">
        <f t="shared" si="37"/>
        <v>0</v>
      </c>
    </row>
    <row r="1172" spans="1:10" x14ac:dyDescent="0.2">
      <c r="A1172" s="4" t="s">
        <v>651</v>
      </c>
      <c r="B1172" s="4" t="s">
        <v>1041</v>
      </c>
      <c r="C1172" s="17" t="str">
        <f t="shared" si="36"/>
        <v>PE</v>
      </c>
      <c r="D1172" s="12">
        <v>0</v>
      </c>
      <c r="J1172" s="10">
        <f t="shared" si="37"/>
        <v>0</v>
      </c>
    </row>
    <row r="1173" spans="1:10" x14ac:dyDescent="0.2">
      <c r="A1173" s="4" t="s">
        <v>653</v>
      </c>
      <c r="B1173" s="4" t="s">
        <v>1041</v>
      </c>
      <c r="C1173" s="17" t="str">
        <f t="shared" si="36"/>
        <v>PE</v>
      </c>
      <c r="D1173" s="12">
        <v>0</v>
      </c>
      <c r="J1173" s="10">
        <f t="shared" si="37"/>
        <v>0</v>
      </c>
    </row>
    <row r="1174" spans="1:10" x14ac:dyDescent="0.2">
      <c r="A1174" s="4" t="s">
        <v>378</v>
      </c>
      <c r="B1174" s="4" t="s">
        <v>1041</v>
      </c>
      <c r="C1174" s="17" t="str">
        <f t="shared" si="36"/>
        <v>PE</v>
      </c>
      <c r="D1174" s="12">
        <v>0</v>
      </c>
      <c r="J1174" s="10">
        <f t="shared" si="37"/>
        <v>0</v>
      </c>
    </row>
    <row r="1175" spans="1:10" x14ac:dyDescent="0.2">
      <c r="A1175" s="4" t="s">
        <v>379</v>
      </c>
      <c r="B1175" s="4" t="s">
        <v>1041</v>
      </c>
      <c r="C1175" s="17" t="str">
        <f t="shared" si="36"/>
        <v>PE</v>
      </c>
      <c r="D1175" s="12">
        <v>0</v>
      </c>
      <c r="J1175" s="10">
        <f t="shared" si="37"/>
        <v>0</v>
      </c>
    </row>
    <row r="1176" spans="1:10" x14ac:dyDescent="0.2">
      <c r="A1176" s="4" t="s">
        <v>654</v>
      </c>
      <c r="B1176" s="4" t="s">
        <v>1041</v>
      </c>
      <c r="C1176" s="17" t="str">
        <f t="shared" si="36"/>
        <v>PE</v>
      </c>
      <c r="D1176" s="12">
        <v>0</v>
      </c>
      <c r="J1176" s="10">
        <f t="shared" si="37"/>
        <v>0</v>
      </c>
    </row>
    <row r="1177" spans="1:10" x14ac:dyDescent="0.2">
      <c r="A1177" s="4" t="s">
        <v>655</v>
      </c>
      <c r="B1177" s="4" t="s">
        <v>1041</v>
      </c>
      <c r="C1177" s="17" t="str">
        <f t="shared" si="36"/>
        <v>PE</v>
      </c>
      <c r="D1177" s="12">
        <v>0</v>
      </c>
      <c r="J1177" s="10">
        <f t="shared" si="37"/>
        <v>0</v>
      </c>
    </row>
    <row r="1178" spans="1:10" x14ac:dyDescent="0.2">
      <c r="A1178" s="4" t="s">
        <v>380</v>
      </c>
      <c r="B1178" s="4" t="s">
        <v>1041</v>
      </c>
      <c r="C1178" s="17" t="str">
        <f t="shared" si="36"/>
        <v>PE</v>
      </c>
      <c r="D1178" s="12">
        <v>0</v>
      </c>
      <c r="J1178" s="10">
        <f t="shared" si="37"/>
        <v>0</v>
      </c>
    </row>
    <row r="1179" spans="1:10" x14ac:dyDescent="0.2">
      <c r="A1179" s="4" t="s">
        <v>381</v>
      </c>
      <c r="B1179" s="4" t="s">
        <v>1041</v>
      </c>
      <c r="C1179" s="17" t="str">
        <f t="shared" si="36"/>
        <v>PE</v>
      </c>
      <c r="D1179" s="12">
        <v>0</v>
      </c>
      <c r="J1179" s="10">
        <f t="shared" si="37"/>
        <v>0</v>
      </c>
    </row>
    <row r="1180" spans="1:10" x14ac:dyDescent="0.2">
      <c r="A1180" s="4" t="s">
        <v>382</v>
      </c>
      <c r="B1180" s="4" t="s">
        <v>1041</v>
      </c>
      <c r="C1180" s="17" t="str">
        <f t="shared" si="36"/>
        <v>PE</v>
      </c>
      <c r="D1180" s="12">
        <v>0</v>
      </c>
      <c r="J1180" s="10">
        <f t="shared" si="37"/>
        <v>0</v>
      </c>
    </row>
    <row r="1181" spans="1:10" x14ac:dyDescent="0.2">
      <c r="A1181" s="4" t="s">
        <v>656</v>
      </c>
      <c r="B1181" s="4" t="s">
        <v>1041</v>
      </c>
      <c r="C1181" s="17" t="str">
        <f t="shared" si="36"/>
        <v>PE</v>
      </c>
      <c r="D1181" s="12">
        <v>0</v>
      </c>
      <c r="J1181" s="10">
        <f t="shared" si="37"/>
        <v>0</v>
      </c>
    </row>
    <row r="1182" spans="1:10" x14ac:dyDescent="0.2">
      <c r="A1182" s="4" t="s">
        <v>659</v>
      </c>
      <c r="B1182" s="4" t="s">
        <v>1041</v>
      </c>
      <c r="C1182" s="17" t="str">
        <f t="shared" si="36"/>
        <v>PE</v>
      </c>
      <c r="D1182" s="12">
        <v>0</v>
      </c>
      <c r="J1182" s="10">
        <f t="shared" si="37"/>
        <v>0</v>
      </c>
    </row>
    <row r="1183" spans="1:10" x14ac:dyDescent="0.2">
      <c r="A1183" s="4" t="s">
        <v>1373</v>
      </c>
      <c r="B1183" s="4" t="s">
        <v>1041</v>
      </c>
      <c r="C1183" s="17" t="str">
        <f t="shared" si="36"/>
        <v>PE</v>
      </c>
      <c r="D1183" s="12">
        <v>0</v>
      </c>
      <c r="J1183" s="10">
        <f t="shared" si="37"/>
        <v>0</v>
      </c>
    </row>
    <row r="1184" spans="1:10" x14ac:dyDescent="0.2">
      <c r="A1184" s="4" t="s">
        <v>1374</v>
      </c>
      <c r="B1184" s="4" t="s">
        <v>1041</v>
      </c>
      <c r="C1184" s="17" t="str">
        <f t="shared" si="36"/>
        <v>PE</v>
      </c>
      <c r="D1184" s="12">
        <v>0</v>
      </c>
      <c r="J1184" s="10">
        <f t="shared" si="37"/>
        <v>0</v>
      </c>
    </row>
    <row r="1185" spans="1:10" x14ac:dyDescent="0.2">
      <c r="A1185" s="4" t="s">
        <v>662</v>
      </c>
      <c r="B1185" s="4" t="s">
        <v>1041</v>
      </c>
      <c r="C1185" s="17" t="str">
        <f t="shared" si="36"/>
        <v>PE</v>
      </c>
      <c r="D1185" s="12">
        <v>0</v>
      </c>
      <c r="J1185" s="10">
        <f t="shared" si="37"/>
        <v>0</v>
      </c>
    </row>
    <row r="1186" spans="1:10" x14ac:dyDescent="0.2">
      <c r="A1186" s="4" t="s">
        <v>663</v>
      </c>
      <c r="B1186" s="4" t="s">
        <v>1041</v>
      </c>
      <c r="C1186" s="17" t="str">
        <f t="shared" si="36"/>
        <v>PE</v>
      </c>
      <c r="D1186" s="12">
        <v>0</v>
      </c>
      <c r="J1186" s="10">
        <f t="shared" si="37"/>
        <v>0</v>
      </c>
    </row>
    <row r="1187" spans="1:10" x14ac:dyDescent="0.2">
      <c r="A1187" s="4" t="s">
        <v>664</v>
      </c>
      <c r="B1187" s="4" t="s">
        <v>1041</v>
      </c>
      <c r="C1187" s="17" t="str">
        <f t="shared" si="36"/>
        <v>PE</v>
      </c>
      <c r="D1187" s="12">
        <v>0</v>
      </c>
      <c r="J1187" s="10">
        <f t="shared" si="37"/>
        <v>0</v>
      </c>
    </row>
    <row r="1188" spans="1:10" x14ac:dyDescent="0.2">
      <c r="A1188" s="4" t="s">
        <v>665</v>
      </c>
      <c r="B1188" s="4" t="s">
        <v>1041</v>
      </c>
      <c r="C1188" s="17" t="str">
        <f t="shared" si="36"/>
        <v>PE</v>
      </c>
      <c r="D1188" s="12">
        <v>0</v>
      </c>
      <c r="J1188" s="10">
        <f t="shared" si="37"/>
        <v>0</v>
      </c>
    </row>
    <row r="1189" spans="1:10" x14ac:dyDescent="0.2">
      <c r="A1189" s="4" t="s">
        <v>666</v>
      </c>
      <c r="B1189" s="4" t="s">
        <v>1041</v>
      </c>
      <c r="C1189" s="17" t="str">
        <f t="shared" si="36"/>
        <v>PE</v>
      </c>
      <c r="D1189" s="12">
        <v>0</v>
      </c>
      <c r="J1189" s="10">
        <f t="shared" si="37"/>
        <v>0</v>
      </c>
    </row>
    <row r="1190" spans="1:10" x14ac:dyDescent="0.2">
      <c r="A1190" s="4" t="s">
        <v>667</v>
      </c>
      <c r="B1190" s="4" t="s">
        <v>1041</v>
      </c>
      <c r="C1190" s="17" t="str">
        <f t="shared" si="36"/>
        <v>PE</v>
      </c>
      <c r="D1190" s="12">
        <v>0</v>
      </c>
      <c r="J1190" s="10">
        <f t="shared" si="37"/>
        <v>0</v>
      </c>
    </row>
    <row r="1191" spans="1:10" x14ac:dyDescent="0.2">
      <c r="A1191" s="4" t="s">
        <v>383</v>
      </c>
      <c r="B1191" s="4" t="s">
        <v>1041</v>
      </c>
      <c r="C1191" s="17" t="str">
        <f t="shared" si="36"/>
        <v>PE</v>
      </c>
      <c r="D1191" s="12">
        <v>0</v>
      </c>
      <c r="J1191" s="10">
        <f t="shared" si="37"/>
        <v>0</v>
      </c>
    </row>
    <row r="1192" spans="1:10" x14ac:dyDescent="0.2">
      <c r="A1192" s="4" t="s">
        <v>668</v>
      </c>
      <c r="B1192" s="4" t="s">
        <v>1041</v>
      </c>
      <c r="C1192" s="17" t="str">
        <f t="shared" si="36"/>
        <v>PE</v>
      </c>
      <c r="D1192" s="12">
        <v>0</v>
      </c>
      <c r="J1192" s="10">
        <f t="shared" si="37"/>
        <v>0</v>
      </c>
    </row>
    <row r="1193" spans="1:10" x14ac:dyDescent="0.2">
      <c r="A1193" s="4" t="s">
        <v>670</v>
      </c>
      <c r="B1193" s="4" t="s">
        <v>1041</v>
      </c>
      <c r="C1193" s="17" t="str">
        <f t="shared" si="36"/>
        <v>PE</v>
      </c>
      <c r="D1193" s="12">
        <v>0</v>
      </c>
      <c r="J1193" s="10">
        <f t="shared" si="37"/>
        <v>0</v>
      </c>
    </row>
    <row r="1194" spans="1:10" x14ac:dyDescent="0.2">
      <c r="A1194" s="4" t="s">
        <v>671</v>
      </c>
      <c r="B1194" s="4" t="s">
        <v>1041</v>
      </c>
      <c r="C1194" s="17" t="str">
        <f t="shared" si="36"/>
        <v>PE</v>
      </c>
      <c r="D1194" s="12">
        <v>0</v>
      </c>
      <c r="J1194" s="10">
        <f t="shared" si="37"/>
        <v>0</v>
      </c>
    </row>
    <row r="1195" spans="1:10" x14ac:dyDescent="0.2">
      <c r="A1195" s="4" t="s">
        <v>672</v>
      </c>
      <c r="B1195" s="4" t="s">
        <v>1041</v>
      </c>
      <c r="C1195" s="17" t="str">
        <f t="shared" si="36"/>
        <v>PE</v>
      </c>
      <c r="D1195" s="12">
        <v>0</v>
      </c>
      <c r="J1195" s="10">
        <f t="shared" si="37"/>
        <v>0</v>
      </c>
    </row>
    <row r="1196" spans="1:10" x14ac:dyDescent="0.2">
      <c r="A1196" s="4" t="s">
        <v>673</v>
      </c>
      <c r="B1196" s="4" t="s">
        <v>1041</v>
      </c>
      <c r="C1196" s="17" t="str">
        <f t="shared" si="36"/>
        <v>PE</v>
      </c>
      <c r="D1196" s="12">
        <v>0</v>
      </c>
      <c r="J1196" s="10">
        <f t="shared" si="37"/>
        <v>0</v>
      </c>
    </row>
    <row r="1197" spans="1:10" x14ac:dyDescent="0.2">
      <c r="A1197" s="4" t="s">
        <v>674</v>
      </c>
      <c r="B1197" s="4" t="s">
        <v>1041</v>
      </c>
      <c r="C1197" s="17" t="str">
        <f t="shared" si="36"/>
        <v>PE</v>
      </c>
      <c r="D1197" s="12">
        <v>0</v>
      </c>
      <c r="J1197" s="10">
        <f t="shared" si="37"/>
        <v>0</v>
      </c>
    </row>
    <row r="1198" spans="1:10" x14ac:dyDescent="0.2">
      <c r="A1198" s="4" t="s">
        <v>675</v>
      </c>
      <c r="B1198" s="4" t="s">
        <v>1041</v>
      </c>
      <c r="C1198" s="17" t="str">
        <f t="shared" si="36"/>
        <v>PE</v>
      </c>
      <c r="D1198" s="12">
        <v>0</v>
      </c>
      <c r="J1198" s="10">
        <f t="shared" si="37"/>
        <v>0</v>
      </c>
    </row>
    <row r="1199" spans="1:10" x14ac:dyDescent="0.2">
      <c r="A1199" s="4" t="s">
        <v>676</v>
      </c>
      <c r="B1199" s="4" t="s">
        <v>1041</v>
      </c>
      <c r="C1199" s="17" t="str">
        <f t="shared" si="36"/>
        <v>PE</v>
      </c>
      <c r="D1199" s="12">
        <v>0</v>
      </c>
      <c r="J1199" s="10">
        <f t="shared" si="37"/>
        <v>0</v>
      </c>
    </row>
    <row r="1200" spans="1:10" x14ac:dyDescent="0.2">
      <c r="A1200" s="4" t="s">
        <v>384</v>
      </c>
      <c r="B1200" s="4" t="s">
        <v>1041</v>
      </c>
      <c r="C1200" s="17" t="str">
        <f t="shared" si="36"/>
        <v>PE</v>
      </c>
      <c r="D1200" s="12">
        <v>0</v>
      </c>
      <c r="J1200" s="10">
        <f t="shared" si="37"/>
        <v>0</v>
      </c>
    </row>
    <row r="1201" spans="1:10" x14ac:dyDescent="0.2">
      <c r="A1201" s="4" t="s">
        <v>677</v>
      </c>
      <c r="B1201" s="4" t="s">
        <v>1041</v>
      </c>
      <c r="C1201" s="17" t="str">
        <f t="shared" si="36"/>
        <v>PE</v>
      </c>
      <c r="D1201" s="12">
        <v>0</v>
      </c>
      <c r="J1201" s="10">
        <f t="shared" si="37"/>
        <v>0</v>
      </c>
    </row>
    <row r="1202" spans="1:10" x14ac:dyDescent="0.2">
      <c r="A1202" s="4" t="s">
        <v>680</v>
      </c>
      <c r="B1202" s="4" t="s">
        <v>1041</v>
      </c>
      <c r="C1202" s="17" t="str">
        <f t="shared" si="36"/>
        <v>PE</v>
      </c>
      <c r="D1202" s="12">
        <v>0</v>
      </c>
      <c r="J1202" s="10">
        <f t="shared" si="37"/>
        <v>0</v>
      </c>
    </row>
    <row r="1203" spans="1:10" x14ac:dyDescent="0.2">
      <c r="A1203" s="4" t="s">
        <v>1375</v>
      </c>
      <c r="B1203" s="4" t="s">
        <v>1041</v>
      </c>
      <c r="C1203" s="17" t="str">
        <f t="shared" si="36"/>
        <v>PE</v>
      </c>
      <c r="D1203" s="12">
        <v>0</v>
      </c>
      <c r="J1203" s="10">
        <f t="shared" si="37"/>
        <v>0</v>
      </c>
    </row>
    <row r="1204" spans="1:10" x14ac:dyDescent="0.2">
      <c r="A1204" s="4" t="s">
        <v>385</v>
      </c>
      <c r="B1204" s="4" t="s">
        <v>1041</v>
      </c>
      <c r="C1204" s="17" t="str">
        <f t="shared" si="36"/>
        <v>PE</v>
      </c>
      <c r="D1204" s="12">
        <v>0</v>
      </c>
      <c r="J1204" s="10">
        <f t="shared" si="37"/>
        <v>0</v>
      </c>
    </row>
    <row r="1205" spans="1:10" x14ac:dyDescent="0.2">
      <c r="A1205" s="4" t="s">
        <v>1376</v>
      </c>
      <c r="B1205" s="4" t="s">
        <v>1041</v>
      </c>
      <c r="C1205" s="17" t="str">
        <f t="shared" si="36"/>
        <v>PE</v>
      </c>
      <c r="D1205" s="12">
        <v>0</v>
      </c>
      <c r="J1205" s="10">
        <f t="shared" si="37"/>
        <v>0</v>
      </c>
    </row>
    <row r="1206" spans="1:10" x14ac:dyDescent="0.2">
      <c r="A1206" s="4" t="s">
        <v>1377</v>
      </c>
      <c r="B1206" s="4" t="s">
        <v>1041</v>
      </c>
      <c r="C1206" s="17" t="str">
        <f t="shared" si="36"/>
        <v>PE</v>
      </c>
      <c r="D1206" s="12">
        <v>0</v>
      </c>
      <c r="J1206" s="10">
        <f t="shared" si="37"/>
        <v>0</v>
      </c>
    </row>
    <row r="1207" spans="1:10" x14ac:dyDescent="0.2">
      <c r="A1207" s="4" t="s">
        <v>1378</v>
      </c>
      <c r="B1207" s="4" t="s">
        <v>1041</v>
      </c>
      <c r="C1207" s="17" t="str">
        <f t="shared" si="36"/>
        <v>PE</v>
      </c>
      <c r="D1207" s="12">
        <v>0</v>
      </c>
      <c r="J1207" s="10">
        <f t="shared" si="37"/>
        <v>0</v>
      </c>
    </row>
    <row r="1208" spans="1:10" x14ac:dyDescent="0.2">
      <c r="A1208" s="4" t="s">
        <v>386</v>
      </c>
      <c r="B1208" s="4" t="s">
        <v>1041</v>
      </c>
      <c r="C1208" s="17" t="str">
        <f t="shared" si="36"/>
        <v>PE</v>
      </c>
      <c r="D1208" s="12">
        <v>0</v>
      </c>
      <c r="J1208" s="10">
        <f t="shared" si="37"/>
        <v>0</v>
      </c>
    </row>
    <row r="1209" spans="1:10" x14ac:dyDescent="0.2">
      <c r="A1209" s="4" t="s">
        <v>387</v>
      </c>
      <c r="B1209" s="4" t="s">
        <v>1041</v>
      </c>
      <c r="C1209" s="17" t="str">
        <f t="shared" si="36"/>
        <v>PE</v>
      </c>
      <c r="D1209" s="12">
        <v>0</v>
      </c>
      <c r="J1209" s="10">
        <f t="shared" si="37"/>
        <v>0</v>
      </c>
    </row>
    <row r="1210" spans="1:10" x14ac:dyDescent="0.2">
      <c r="A1210" s="4" t="s">
        <v>1379</v>
      </c>
      <c r="B1210" s="4" t="s">
        <v>1041</v>
      </c>
      <c r="C1210" s="17" t="str">
        <f t="shared" si="36"/>
        <v>PE</v>
      </c>
      <c r="D1210" s="12">
        <v>0</v>
      </c>
      <c r="J1210" s="10">
        <f t="shared" si="37"/>
        <v>0</v>
      </c>
    </row>
    <row r="1211" spans="1:10" x14ac:dyDescent="0.2">
      <c r="A1211" s="4" t="s">
        <v>1380</v>
      </c>
      <c r="B1211" s="4" t="s">
        <v>1041</v>
      </c>
      <c r="C1211" s="17" t="str">
        <f t="shared" si="36"/>
        <v>PE</v>
      </c>
      <c r="D1211" s="12">
        <v>0</v>
      </c>
      <c r="J1211" s="10">
        <f t="shared" si="37"/>
        <v>0</v>
      </c>
    </row>
    <row r="1212" spans="1:10" x14ac:dyDescent="0.2">
      <c r="A1212" s="4" t="s">
        <v>1381</v>
      </c>
      <c r="B1212" s="4" t="s">
        <v>1041</v>
      </c>
      <c r="C1212" s="17" t="str">
        <f t="shared" si="36"/>
        <v>PE</v>
      </c>
      <c r="D1212" s="12">
        <v>0</v>
      </c>
      <c r="J1212" s="10">
        <f t="shared" si="37"/>
        <v>0</v>
      </c>
    </row>
    <row r="1213" spans="1:10" x14ac:dyDescent="0.2">
      <c r="A1213" s="4" t="s">
        <v>1382</v>
      </c>
      <c r="B1213" s="4" t="s">
        <v>1041</v>
      </c>
      <c r="C1213" s="17" t="str">
        <f t="shared" si="36"/>
        <v>PE</v>
      </c>
      <c r="D1213" s="12">
        <v>0</v>
      </c>
      <c r="J1213" s="10">
        <f t="shared" si="37"/>
        <v>0</v>
      </c>
    </row>
    <row r="1214" spans="1:10" x14ac:dyDescent="0.2">
      <c r="A1214" s="4" t="s">
        <v>1383</v>
      </c>
      <c r="B1214" s="4" t="s">
        <v>1041</v>
      </c>
      <c r="C1214" s="17" t="str">
        <f t="shared" si="36"/>
        <v>PE</v>
      </c>
      <c r="D1214" s="12">
        <v>0</v>
      </c>
      <c r="J1214" s="10">
        <f t="shared" si="37"/>
        <v>0</v>
      </c>
    </row>
    <row r="1215" spans="1:10" x14ac:dyDescent="0.2">
      <c r="A1215" s="4" t="s">
        <v>388</v>
      </c>
      <c r="B1215" s="4" t="s">
        <v>1041</v>
      </c>
      <c r="C1215" s="17" t="str">
        <f t="shared" si="36"/>
        <v>PE</v>
      </c>
      <c r="D1215" s="12">
        <v>0</v>
      </c>
      <c r="J1215" s="10">
        <f t="shared" si="37"/>
        <v>0</v>
      </c>
    </row>
    <row r="1216" spans="1:10" x14ac:dyDescent="0.2">
      <c r="A1216" s="4" t="s">
        <v>1384</v>
      </c>
      <c r="B1216" s="4" t="s">
        <v>1041</v>
      </c>
      <c r="C1216" s="17" t="str">
        <f t="shared" si="36"/>
        <v>PE</v>
      </c>
      <c r="D1216" s="12">
        <v>0</v>
      </c>
      <c r="J1216" s="10">
        <f t="shared" si="37"/>
        <v>0</v>
      </c>
    </row>
    <row r="1217" spans="1:10" x14ac:dyDescent="0.2">
      <c r="A1217" s="4" t="s">
        <v>1313</v>
      </c>
      <c r="B1217" s="4" t="s">
        <v>1042</v>
      </c>
      <c r="C1217" s="17" t="str">
        <f t="shared" si="36"/>
        <v>PE</v>
      </c>
      <c r="D1217" s="12">
        <v>0</v>
      </c>
      <c r="J1217" s="10">
        <f t="shared" si="37"/>
        <v>0</v>
      </c>
    </row>
    <row r="1218" spans="1:10" x14ac:dyDescent="0.2">
      <c r="A1218" s="4" t="s">
        <v>1314</v>
      </c>
      <c r="B1218" s="4" t="s">
        <v>1042</v>
      </c>
      <c r="C1218" s="17" t="str">
        <f t="shared" ref="C1218:C1281" si="38">VLOOKUP(B1218, quota_order_numbers2, 6, FALSE)</f>
        <v>PE</v>
      </c>
      <c r="D1218" s="12">
        <v>0</v>
      </c>
      <c r="J1218" s="10">
        <f t="shared" ref="J1218:J1281" si="39">VLOOKUP(B1218, quota_order_numbers2, 2, FALSE)</f>
        <v>0</v>
      </c>
    </row>
    <row r="1219" spans="1:10" x14ac:dyDescent="0.2">
      <c r="A1219" s="4" t="s">
        <v>1315</v>
      </c>
      <c r="B1219" s="4" t="s">
        <v>1042</v>
      </c>
      <c r="C1219" s="17" t="str">
        <f t="shared" si="38"/>
        <v>PE</v>
      </c>
      <c r="D1219" s="12">
        <v>0</v>
      </c>
      <c r="J1219" s="10">
        <f t="shared" si="39"/>
        <v>0</v>
      </c>
    </row>
    <row r="1220" spans="1:10" x14ac:dyDescent="0.2">
      <c r="A1220" s="4" t="s">
        <v>1316</v>
      </c>
      <c r="B1220" s="4" t="s">
        <v>1042</v>
      </c>
      <c r="C1220" s="17" t="str">
        <f t="shared" si="38"/>
        <v>PE</v>
      </c>
      <c r="D1220" s="12">
        <v>0</v>
      </c>
      <c r="J1220" s="10">
        <f t="shared" si="39"/>
        <v>0</v>
      </c>
    </row>
    <row r="1221" spans="1:10" x14ac:dyDescent="0.2">
      <c r="A1221" s="4" t="s">
        <v>1317</v>
      </c>
      <c r="B1221" s="4" t="s">
        <v>1042</v>
      </c>
      <c r="C1221" s="17" t="str">
        <f t="shared" si="38"/>
        <v>PE</v>
      </c>
      <c r="D1221" s="12">
        <v>0</v>
      </c>
      <c r="J1221" s="10">
        <f t="shared" si="39"/>
        <v>0</v>
      </c>
    </row>
    <row r="1222" spans="1:10" x14ac:dyDescent="0.2">
      <c r="A1222" s="4" t="s">
        <v>1318</v>
      </c>
      <c r="B1222" s="4" t="s">
        <v>1042</v>
      </c>
      <c r="C1222" s="17" t="str">
        <f t="shared" si="38"/>
        <v>PE</v>
      </c>
      <c r="D1222" s="12">
        <v>0</v>
      </c>
      <c r="J1222" s="10">
        <f t="shared" si="39"/>
        <v>0</v>
      </c>
    </row>
    <row r="1223" spans="1:10" x14ac:dyDescent="0.2">
      <c r="A1223" s="4" t="s">
        <v>1319</v>
      </c>
      <c r="B1223" s="4" t="s">
        <v>1042</v>
      </c>
      <c r="C1223" s="17" t="str">
        <f t="shared" si="38"/>
        <v>PE</v>
      </c>
      <c r="D1223" s="12">
        <v>0</v>
      </c>
      <c r="J1223" s="10">
        <f t="shared" si="39"/>
        <v>0</v>
      </c>
    </row>
    <row r="1224" spans="1:10" x14ac:dyDescent="0.2">
      <c r="A1224" s="4" t="s">
        <v>1226</v>
      </c>
      <c r="B1224" s="4" t="s">
        <v>1043</v>
      </c>
      <c r="C1224" s="17" t="str">
        <f t="shared" si="38"/>
        <v>PE</v>
      </c>
      <c r="D1224" s="12">
        <v>0</v>
      </c>
      <c r="J1224" s="10">
        <f t="shared" si="39"/>
        <v>0</v>
      </c>
    </row>
    <row r="1225" spans="1:10" x14ac:dyDescent="0.2">
      <c r="A1225" s="4" t="s">
        <v>1227</v>
      </c>
      <c r="B1225" s="4" t="s">
        <v>1043</v>
      </c>
      <c r="C1225" s="17" t="str">
        <f t="shared" si="38"/>
        <v>PE</v>
      </c>
      <c r="D1225" s="12">
        <v>0</v>
      </c>
      <c r="J1225" s="10">
        <f t="shared" si="39"/>
        <v>0</v>
      </c>
    </row>
    <row r="1226" spans="1:10" x14ac:dyDescent="0.2">
      <c r="A1226" s="4" t="s">
        <v>580</v>
      </c>
      <c r="B1226" s="4" t="s">
        <v>1044</v>
      </c>
      <c r="C1226" s="17" t="str">
        <f t="shared" si="38"/>
        <v>PE</v>
      </c>
      <c r="D1226" s="12">
        <v>0</v>
      </c>
      <c r="J1226" s="10">
        <f t="shared" si="39"/>
        <v>0</v>
      </c>
    </row>
    <row r="1227" spans="1:10" x14ac:dyDescent="0.2">
      <c r="A1227" s="4" t="s">
        <v>582</v>
      </c>
      <c r="B1227" s="4" t="s">
        <v>1044</v>
      </c>
      <c r="C1227" s="17" t="str">
        <f t="shared" si="38"/>
        <v>PE</v>
      </c>
      <c r="D1227" s="12">
        <v>0</v>
      </c>
      <c r="J1227" s="10">
        <f t="shared" si="39"/>
        <v>0</v>
      </c>
    </row>
    <row r="1228" spans="1:10" x14ac:dyDescent="0.2">
      <c r="A1228" s="4" t="s">
        <v>583</v>
      </c>
      <c r="B1228" s="4" t="s">
        <v>1044</v>
      </c>
      <c r="C1228" s="17" t="str">
        <f t="shared" si="38"/>
        <v>PE</v>
      </c>
      <c r="D1228" s="12">
        <v>0</v>
      </c>
      <c r="J1228" s="10">
        <f t="shared" si="39"/>
        <v>0</v>
      </c>
    </row>
    <row r="1229" spans="1:10" x14ac:dyDescent="0.2">
      <c r="A1229" s="4" t="s">
        <v>581</v>
      </c>
      <c r="B1229" s="4" t="s">
        <v>1044</v>
      </c>
      <c r="C1229" s="17" t="str">
        <f t="shared" si="38"/>
        <v>PE</v>
      </c>
      <c r="D1229" s="12">
        <v>0</v>
      </c>
      <c r="J1229" s="10">
        <f t="shared" si="39"/>
        <v>0</v>
      </c>
    </row>
    <row r="1230" spans="1:10" x14ac:dyDescent="0.2">
      <c r="A1230" s="4" t="s">
        <v>584</v>
      </c>
      <c r="B1230" s="4" t="s">
        <v>1044</v>
      </c>
      <c r="C1230" s="17" t="str">
        <f t="shared" si="38"/>
        <v>PE</v>
      </c>
      <c r="D1230" s="12">
        <v>0</v>
      </c>
      <c r="J1230" s="10">
        <f t="shared" si="39"/>
        <v>0</v>
      </c>
    </row>
    <row r="1231" spans="1:10" x14ac:dyDescent="0.2">
      <c r="A1231" s="4" t="s">
        <v>1228</v>
      </c>
      <c r="B1231" s="4" t="s">
        <v>1044</v>
      </c>
      <c r="C1231" s="17" t="str">
        <f t="shared" si="38"/>
        <v>PE</v>
      </c>
      <c r="D1231" s="12">
        <v>0</v>
      </c>
      <c r="J1231" s="10">
        <f t="shared" si="39"/>
        <v>0</v>
      </c>
    </row>
    <row r="1232" spans="1:10" x14ac:dyDescent="0.2">
      <c r="A1232" s="4" t="s">
        <v>280</v>
      </c>
      <c r="B1232" s="4" t="s">
        <v>1045</v>
      </c>
      <c r="C1232" s="17" t="str">
        <f t="shared" si="38"/>
        <v>PE</v>
      </c>
      <c r="D1232" s="12">
        <v>0</v>
      </c>
      <c r="J1232" s="10">
        <f t="shared" si="39"/>
        <v>0</v>
      </c>
    </row>
    <row r="1233" spans="1:10" x14ac:dyDescent="0.2">
      <c r="A1233" s="4" t="s">
        <v>1229</v>
      </c>
      <c r="B1233" s="4" t="s">
        <v>1046</v>
      </c>
      <c r="C1233" s="17" t="str">
        <f t="shared" si="38"/>
        <v>PE</v>
      </c>
      <c r="D1233" s="12">
        <v>0</v>
      </c>
      <c r="J1233" s="10">
        <f t="shared" si="39"/>
        <v>0</v>
      </c>
    </row>
    <row r="1234" spans="1:10" x14ac:dyDescent="0.2">
      <c r="A1234" s="4" t="s">
        <v>1230</v>
      </c>
      <c r="B1234" s="4" t="s">
        <v>1046</v>
      </c>
      <c r="C1234" s="17" t="str">
        <f t="shared" si="38"/>
        <v>PE</v>
      </c>
      <c r="D1234" s="12">
        <v>0</v>
      </c>
      <c r="J1234" s="10">
        <f t="shared" si="39"/>
        <v>0</v>
      </c>
    </row>
    <row r="1235" spans="1:10" x14ac:dyDescent="0.2">
      <c r="A1235" s="4" t="s">
        <v>1231</v>
      </c>
      <c r="B1235" s="4" t="s">
        <v>1046</v>
      </c>
      <c r="C1235" s="17" t="str">
        <f t="shared" si="38"/>
        <v>PE</v>
      </c>
      <c r="D1235" s="12">
        <v>0</v>
      </c>
      <c r="J1235" s="10">
        <f t="shared" si="39"/>
        <v>0</v>
      </c>
    </row>
    <row r="1236" spans="1:10" x14ac:dyDescent="0.2">
      <c r="A1236" s="4" t="s">
        <v>1232</v>
      </c>
      <c r="B1236" s="4" t="s">
        <v>1046</v>
      </c>
      <c r="C1236" s="17" t="str">
        <f t="shared" si="38"/>
        <v>PE</v>
      </c>
      <c r="D1236" s="12">
        <v>0</v>
      </c>
      <c r="J1236" s="10">
        <f t="shared" si="39"/>
        <v>0</v>
      </c>
    </row>
    <row r="1237" spans="1:10" x14ac:dyDescent="0.2">
      <c r="A1237" s="4" t="s">
        <v>1321</v>
      </c>
      <c r="B1237" s="4" t="s">
        <v>1046</v>
      </c>
      <c r="C1237" s="17" t="str">
        <f t="shared" si="38"/>
        <v>PE</v>
      </c>
      <c r="D1237" s="12">
        <v>0</v>
      </c>
      <c r="J1237" s="10">
        <f t="shared" si="39"/>
        <v>0</v>
      </c>
    </row>
    <row r="1238" spans="1:10" x14ac:dyDescent="0.2">
      <c r="A1238" s="4" t="s">
        <v>1322</v>
      </c>
      <c r="B1238" s="4" t="s">
        <v>1046</v>
      </c>
      <c r="C1238" s="17" t="str">
        <f t="shared" si="38"/>
        <v>PE</v>
      </c>
      <c r="D1238" s="12">
        <v>0</v>
      </c>
      <c r="J1238" s="10">
        <f t="shared" si="39"/>
        <v>0</v>
      </c>
    </row>
    <row r="1239" spans="1:10" x14ac:dyDescent="0.2">
      <c r="A1239" s="4" t="s">
        <v>960</v>
      </c>
      <c r="B1239" s="4" t="s">
        <v>1046</v>
      </c>
      <c r="C1239" s="17" t="str">
        <f t="shared" si="38"/>
        <v>PE</v>
      </c>
      <c r="D1239" s="12">
        <v>0</v>
      </c>
      <c r="J1239" s="10">
        <f t="shared" si="39"/>
        <v>0</v>
      </c>
    </row>
    <row r="1240" spans="1:10" x14ac:dyDescent="0.2">
      <c r="A1240" s="4" t="s">
        <v>1323</v>
      </c>
      <c r="B1240" s="4" t="s">
        <v>1046</v>
      </c>
      <c r="C1240" s="17" t="str">
        <f t="shared" si="38"/>
        <v>PE</v>
      </c>
      <c r="D1240" s="12">
        <v>0</v>
      </c>
      <c r="J1240" s="10">
        <f t="shared" si="39"/>
        <v>0</v>
      </c>
    </row>
    <row r="1241" spans="1:10" x14ac:dyDescent="0.2">
      <c r="A1241" s="4" t="s">
        <v>1324</v>
      </c>
      <c r="B1241" s="4" t="s">
        <v>1046</v>
      </c>
      <c r="C1241" s="17" t="str">
        <f t="shared" si="38"/>
        <v>PE</v>
      </c>
      <c r="D1241" s="12">
        <v>0</v>
      </c>
      <c r="J1241" s="10">
        <f t="shared" si="39"/>
        <v>0</v>
      </c>
    </row>
    <row r="1242" spans="1:10" x14ac:dyDescent="0.2">
      <c r="A1242" s="4" t="s">
        <v>1325</v>
      </c>
      <c r="B1242" s="4" t="s">
        <v>1046</v>
      </c>
      <c r="C1242" s="17" t="str">
        <f t="shared" si="38"/>
        <v>PE</v>
      </c>
      <c r="D1242" s="12">
        <v>0</v>
      </c>
      <c r="J1242" s="10">
        <f t="shared" si="39"/>
        <v>0</v>
      </c>
    </row>
    <row r="1243" spans="1:10" x14ac:dyDescent="0.2">
      <c r="A1243" s="4" t="s">
        <v>1326</v>
      </c>
      <c r="B1243" s="4" t="s">
        <v>1046</v>
      </c>
      <c r="C1243" s="17" t="str">
        <f t="shared" si="38"/>
        <v>PE</v>
      </c>
      <c r="D1243" s="12">
        <v>0</v>
      </c>
      <c r="J1243" s="10">
        <f t="shared" si="39"/>
        <v>0</v>
      </c>
    </row>
    <row r="1244" spans="1:10" x14ac:dyDescent="0.2">
      <c r="A1244" s="4" t="s">
        <v>1327</v>
      </c>
      <c r="B1244" s="4" t="s">
        <v>1046</v>
      </c>
      <c r="C1244" s="17" t="str">
        <f t="shared" si="38"/>
        <v>PE</v>
      </c>
      <c r="D1244" s="12">
        <v>0</v>
      </c>
      <c r="J1244" s="10">
        <f t="shared" si="39"/>
        <v>0</v>
      </c>
    </row>
    <row r="1245" spans="1:10" x14ac:dyDescent="0.2">
      <c r="A1245" s="4" t="s">
        <v>1328</v>
      </c>
      <c r="B1245" s="4" t="s">
        <v>1046</v>
      </c>
      <c r="C1245" s="17" t="str">
        <f t="shared" si="38"/>
        <v>PE</v>
      </c>
      <c r="D1245" s="12">
        <v>0</v>
      </c>
      <c r="J1245" s="10">
        <f t="shared" si="39"/>
        <v>0</v>
      </c>
    </row>
    <row r="1246" spans="1:10" x14ac:dyDescent="0.2">
      <c r="A1246" s="4" t="s">
        <v>1329</v>
      </c>
      <c r="B1246" s="4" t="s">
        <v>1046</v>
      </c>
      <c r="C1246" s="17" t="str">
        <f t="shared" si="38"/>
        <v>PE</v>
      </c>
      <c r="D1246" s="12">
        <v>0</v>
      </c>
      <c r="J1246" s="10">
        <f t="shared" si="39"/>
        <v>0</v>
      </c>
    </row>
    <row r="1247" spans="1:10" x14ac:dyDescent="0.2">
      <c r="A1247" s="4" t="s">
        <v>1233</v>
      </c>
      <c r="B1247" s="4" t="s">
        <v>1047</v>
      </c>
      <c r="C1247" s="17" t="str">
        <f t="shared" si="38"/>
        <v>PE</v>
      </c>
      <c r="D1247" s="12">
        <v>0</v>
      </c>
      <c r="J1247" s="10">
        <f t="shared" si="39"/>
        <v>0</v>
      </c>
    </row>
    <row r="1248" spans="1:10" x14ac:dyDescent="0.2">
      <c r="A1248" s="4" t="s">
        <v>1234</v>
      </c>
      <c r="B1248" s="4" t="s">
        <v>1047</v>
      </c>
      <c r="C1248" s="17" t="str">
        <f t="shared" si="38"/>
        <v>PE</v>
      </c>
      <c r="D1248" s="12">
        <v>0</v>
      </c>
      <c r="J1248" s="10">
        <f t="shared" si="39"/>
        <v>0</v>
      </c>
    </row>
    <row r="1249" spans="1:10" x14ac:dyDescent="0.2">
      <c r="A1249" s="4" t="s">
        <v>596</v>
      </c>
      <c r="B1249" s="4" t="s">
        <v>1047</v>
      </c>
      <c r="C1249" s="17" t="str">
        <f t="shared" si="38"/>
        <v>PE</v>
      </c>
      <c r="D1249" s="12">
        <v>0</v>
      </c>
      <c r="J1249" s="10">
        <f t="shared" si="39"/>
        <v>0</v>
      </c>
    </row>
    <row r="1250" spans="1:10" x14ac:dyDescent="0.2">
      <c r="A1250" s="4" t="s">
        <v>597</v>
      </c>
      <c r="B1250" s="4" t="s">
        <v>1047</v>
      </c>
      <c r="C1250" s="17" t="str">
        <f t="shared" si="38"/>
        <v>PE</v>
      </c>
      <c r="D1250" s="12">
        <v>0</v>
      </c>
      <c r="J1250" s="10">
        <f t="shared" si="39"/>
        <v>0</v>
      </c>
    </row>
    <row r="1251" spans="1:10" x14ac:dyDescent="0.2">
      <c r="A1251" s="4" t="s">
        <v>1235</v>
      </c>
      <c r="B1251" s="4" t="s">
        <v>1047</v>
      </c>
      <c r="C1251" s="17" t="str">
        <f t="shared" si="38"/>
        <v>PE</v>
      </c>
      <c r="D1251" s="12">
        <v>0</v>
      </c>
      <c r="J1251" s="10">
        <f t="shared" si="39"/>
        <v>0</v>
      </c>
    </row>
    <row r="1252" spans="1:10" x14ac:dyDescent="0.2">
      <c r="A1252" s="4" t="s">
        <v>1236</v>
      </c>
      <c r="B1252" s="4" t="s">
        <v>1047</v>
      </c>
      <c r="C1252" s="17" t="str">
        <f t="shared" si="38"/>
        <v>PE</v>
      </c>
      <c r="D1252" s="12">
        <v>0</v>
      </c>
      <c r="J1252" s="10">
        <f t="shared" si="39"/>
        <v>0</v>
      </c>
    </row>
    <row r="1253" spans="1:10" x14ac:dyDescent="0.2">
      <c r="A1253" s="4" t="s">
        <v>1237</v>
      </c>
      <c r="B1253" s="4" t="s">
        <v>1047</v>
      </c>
      <c r="C1253" s="17" t="str">
        <f t="shared" si="38"/>
        <v>PE</v>
      </c>
      <c r="D1253" s="12">
        <v>0</v>
      </c>
      <c r="J1253" s="10">
        <f t="shared" si="39"/>
        <v>0</v>
      </c>
    </row>
    <row r="1254" spans="1:10" x14ac:dyDescent="0.2">
      <c r="A1254" s="4" t="s">
        <v>1238</v>
      </c>
      <c r="B1254" s="4" t="s">
        <v>1047</v>
      </c>
      <c r="C1254" s="17" t="str">
        <f t="shared" si="38"/>
        <v>PE</v>
      </c>
      <c r="D1254" s="12">
        <v>0</v>
      </c>
      <c r="J1254" s="10">
        <f t="shared" si="39"/>
        <v>0</v>
      </c>
    </row>
    <row r="1255" spans="1:10" x14ac:dyDescent="0.2">
      <c r="A1255" s="4" t="s">
        <v>1239</v>
      </c>
      <c r="B1255" s="4" t="s">
        <v>1047</v>
      </c>
      <c r="C1255" s="17" t="str">
        <f t="shared" si="38"/>
        <v>PE</v>
      </c>
      <c r="D1255" s="12">
        <v>0</v>
      </c>
      <c r="J1255" s="10">
        <f t="shared" si="39"/>
        <v>0</v>
      </c>
    </row>
    <row r="1256" spans="1:10" x14ac:dyDescent="0.2">
      <c r="A1256" s="4" t="s">
        <v>1240</v>
      </c>
      <c r="B1256" s="4" t="s">
        <v>1047</v>
      </c>
      <c r="C1256" s="17" t="str">
        <f t="shared" si="38"/>
        <v>PE</v>
      </c>
      <c r="D1256" s="12">
        <v>0</v>
      </c>
      <c r="J1256" s="10">
        <f t="shared" si="39"/>
        <v>0</v>
      </c>
    </row>
    <row r="1257" spans="1:10" x14ac:dyDescent="0.2">
      <c r="A1257" s="4" t="s">
        <v>1241</v>
      </c>
      <c r="B1257" s="4" t="s">
        <v>1047</v>
      </c>
      <c r="C1257" s="17" t="str">
        <f t="shared" si="38"/>
        <v>PE</v>
      </c>
      <c r="D1257" s="12">
        <v>0</v>
      </c>
      <c r="J1257" s="10">
        <f t="shared" si="39"/>
        <v>0</v>
      </c>
    </row>
    <row r="1258" spans="1:10" x14ac:dyDescent="0.2">
      <c r="A1258" s="4" t="s">
        <v>1242</v>
      </c>
      <c r="B1258" s="4" t="s">
        <v>1047</v>
      </c>
      <c r="C1258" s="17" t="str">
        <f t="shared" si="38"/>
        <v>PE</v>
      </c>
      <c r="D1258" s="12">
        <v>0</v>
      </c>
      <c r="J1258" s="10">
        <f t="shared" si="39"/>
        <v>0</v>
      </c>
    </row>
    <row r="1259" spans="1:10" x14ac:dyDescent="0.2">
      <c r="A1259" s="4" t="s">
        <v>1243</v>
      </c>
      <c r="B1259" s="4" t="s">
        <v>1047</v>
      </c>
      <c r="C1259" s="17" t="str">
        <f t="shared" si="38"/>
        <v>PE</v>
      </c>
      <c r="D1259" s="12">
        <v>0</v>
      </c>
      <c r="J1259" s="10">
        <f t="shared" si="39"/>
        <v>0</v>
      </c>
    </row>
    <row r="1260" spans="1:10" x14ac:dyDescent="0.2">
      <c r="A1260" s="4" t="s">
        <v>1244</v>
      </c>
      <c r="B1260" s="4" t="s">
        <v>1047</v>
      </c>
      <c r="C1260" s="17" t="str">
        <f t="shared" si="38"/>
        <v>PE</v>
      </c>
      <c r="D1260" s="12">
        <v>0</v>
      </c>
      <c r="J1260" s="10">
        <f t="shared" si="39"/>
        <v>0</v>
      </c>
    </row>
    <row r="1261" spans="1:10" x14ac:dyDescent="0.2">
      <c r="A1261" s="4" t="s">
        <v>1245</v>
      </c>
      <c r="B1261" s="4" t="s">
        <v>1047</v>
      </c>
      <c r="C1261" s="17" t="str">
        <f t="shared" si="38"/>
        <v>PE</v>
      </c>
      <c r="D1261" s="12">
        <v>0</v>
      </c>
      <c r="J1261" s="10">
        <f t="shared" si="39"/>
        <v>0</v>
      </c>
    </row>
    <row r="1262" spans="1:10" x14ac:dyDescent="0.2">
      <c r="A1262" s="4" t="s">
        <v>1246</v>
      </c>
      <c r="B1262" s="4" t="s">
        <v>1047</v>
      </c>
      <c r="C1262" s="17" t="str">
        <f t="shared" si="38"/>
        <v>PE</v>
      </c>
      <c r="D1262" s="12">
        <v>0</v>
      </c>
      <c r="J1262" s="10">
        <f t="shared" si="39"/>
        <v>0</v>
      </c>
    </row>
    <row r="1263" spans="1:10" x14ac:dyDescent="0.2">
      <c r="A1263" s="4" t="s">
        <v>1247</v>
      </c>
      <c r="B1263" s="4" t="s">
        <v>1047</v>
      </c>
      <c r="C1263" s="17" t="str">
        <f t="shared" si="38"/>
        <v>PE</v>
      </c>
      <c r="D1263" s="12">
        <v>0</v>
      </c>
      <c r="J1263" s="10">
        <f t="shared" si="39"/>
        <v>0</v>
      </c>
    </row>
    <row r="1264" spans="1:10" x14ac:dyDescent="0.2">
      <c r="A1264" s="4" t="s">
        <v>1248</v>
      </c>
      <c r="B1264" s="4" t="s">
        <v>1047</v>
      </c>
      <c r="C1264" s="17" t="str">
        <f t="shared" si="38"/>
        <v>PE</v>
      </c>
      <c r="D1264" s="12">
        <v>0</v>
      </c>
      <c r="J1264" s="10">
        <f t="shared" si="39"/>
        <v>0</v>
      </c>
    </row>
    <row r="1265" spans="1:10" x14ac:dyDescent="0.2">
      <c r="A1265" s="4" t="s">
        <v>1249</v>
      </c>
      <c r="B1265" s="4" t="s">
        <v>1047</v>
      </c>
      <c r="C1265" s="17" t="str">
        <f t="shared" si="38"/>
        <v>PE</v>
      </c>
      <c r="D1265" s="12">
        <v>0</v>
      </c>
      <c r="J1265" s="10">
        <f t="shared" si="39"/>
        <v>0</v>
      </c>
    </row>
    <row r="1266" spans="1:10" x14ac:dyDescent="0.2">
      <c r="A1266" s="4" t="s">
        <v>1250</v>
      </c>
      <c r="B1266" s="4" t="s">
        <v>1047</v>
      </c>
      <c r="C1266" s="17" t="str">
        <f t="shared" si="38"/>
        <v>PE</v>
      </c>
      <c r="D1266" s="12">
        <v>0</v>
      </c>
      <c r="J1266" s="10">
        <f t="shared" si="39"/>
        <v>0</v>
      </c>
    </row>
    <row r="1267" spans="1:10" x14ac:dyDescent="0.2">
      <c r="A1267" s="4" t="s">
        <v>1251</v>
      </c>
      <c r="B1267" s="4" t="s">
        <v>1047</v>
      </c>
      <c r="C1267" s="17" t="str">
        <f t="shared" si="38"/>
        <v>PE</v>
      </c>
      <c r="D1267" s="12">
        <v>0</v>
      </c>
      <c r="J1267" s="10">
        <f t="shared" si="39"/>
        <v>0</v>
      </c>
    </row>
    <row r="1268" spans="1:10" x14ac:dyDescent="0.2">
      <c r="A1268" s="4" t="s">
        <v>1252</v>
      </c>
      <c r="B1268" s="4" t="s">
        <v>1047</v>
      </c>
      <c r="C1268" s="17" t="str">
        <f t="shared" si="38"/>
        <v>PE</v>
      </c>
      <c r="D1268" s="12">
        <v>0</v>
      </c>
      <c r="J1268" s="10">
        <f t="shared" si="39"/>
        <v>0</v>
      </c>
    </row>
    <row r="1269" spans="1:10" x14ac:dyDescent="0.2">
      <c r="A1269" s="4" t="s">
        <v>1253</v>
      </c>
      <c r="B1269" s="4" t="s">
        <v>1047</v>
      </c>
      <c r="C1269" s="17" t="str">
        <f t="shared" si="38"/>
        <v>PE</v>
      </c>
      <c r="D1269" s="12">
        <v>0</v>
      </c>
      <c r="J1269" s="10">
        <f t="shared" si="39"/>
        <v>0</v>
      </c>
    </row>
    <row r="1270" spans="1:10" x14ac:dyDescent="0.2">
      <c r="A1270" s="4" t="s">
        <v>1254</v>
      </c>
      <c r="B1270" s="4" t="s">
        <v>1047</v>
      </c>
      <c r="C1270" s="17" t="str">
        <f t="shared" si="38"/>
        <v>PE</v>
      </c>
      <c r="D1270" s="12">
        <v>0</v>
      </c>
      <c r="J1270" s="10">
        <f t="shared" si="39"/>
        <v>0</v>
      </c>
    </row>
    <row r="1271" spans="1:10" x14ac:dyDescent="0.2">
      <c r="A1271" s="4" t="s">
        <v>1255</v>
      </c>
      <c r="B1271" s="4" t="s">
        <v>1047</v>
      </c>
      <c r="C1271" s="17" t="str">
        <f t="shared" si="38"/>
        <v>PE</v>
      </c>
      <c r="D1271" s="12">
        <v>0</v>
      </c>
      <c r="J1271" s="10">
        <f t="shared" si="39"/>
        <v>0</v>
      </c>
    </row>
    <row r="1272" spans="1:10" x14ac:dyDescent="0.2">
      <c r="A1272" s="4" t="s">
        <v>1256</v>
      </c>
      <c r="B1272" s="4" t="s">
        <v>1047</v>
      </c>
      <c r="C1272" s="17" t="str">
        <f t="shared" si="38"/>
        <v>PE</v>
      </c>
      <c r="D1272" s="12">
        <v>0</v>
      </c>
      <c r="J1272" s="10">
        <f t="shared" si="39"/>
        <v>0</v>
      </c>
    </row>
    <row r="1273" spans="1:10" x14ac:dyDescent="0.2">
      <c r="A1273" s="4" t="s">
        <v>1257</v>
      </c>
      <c r="B1273" s="4" t="s">
        <v>1047</v>
      </c>
      <c r="C1273" s="17" t="str">
        <f t="shared" si="38"/>
        <v>PE</v>
      </c>
      <c r="D1273" s="12">
        <v>0</v>
      </c>
      <c r="J1273" s="10">
        <f t="shared" si="39"/>
        <v>0</v>
      </c>
    </row>
    <row r="1274" spans="1:10" x14ac:dyDescent="0.2">
      <c r="A1274" s="4" t="s">
        <v>1258</v>
      </c>
      <c r="B1274" s="4" t="s">
        <v>1047</v>
      </c>
      <c r="C1274" s="17" t="str">
        <f t="shared" si="38"/>
        <v>PE</v>
      </c>
      <c r="D1274" s="12">
        <v>0</v>
      </c>
      <c r="J1274" s="10">
        <f t="shared" si="39"/>
        <v>0</v>
      </c>
    </row>
    <row r="1275" spans="1:10" x14ac:dyDescent="0.2">
      <c r="A1275" s="4" t="s">
        <v>1259</v>
      </c>
      <c r="B1275" s="4" t="s">
        <v>1047</v>
      </c>
      <c r="C1275" s="17" t="str">
        <f t="shared" si="38"/>
        <v>PE</v>
      </c>
      <c r="D1275" s="12">
        <v>0</v>
      </c>
      <c r="J1275" s="10">
        <f t="shared" si="39"/>
        <v>0</v>
      </c>
    </row>
    <row r="1276" spans="1:10" x14ac:dyDescent="0.2">
      <c r="A1276" s="4" t="s">
        <v>1260</v>
      </c>
      <c r="B1276" s="4" t="s">
        <v>1047</v>
      </c>
      <c r="C1276" s="17" t="str">
        <f t="shared" si="38"/>
        <v>PE</v>
      </c>
      <c r="D1276" s="12">
        <v>0</v>
      </c>
      <c r="J1276" s="10">
        <f t="shared" si="39"/>
        <v>0</v>
      </c>
    </row>
    <row r="1277" spans="1:10" x14ac:dyDescent="0.2">
      <c r="A1277" s="4" t="s">
        <v>1261</v>
      </c>
      <c r="B1277" s="4" t="s">
        <v>1047</v>
      </c>
      <c r="C1277" s="17" t="str">
        <f t="shared" si="38"/>
        <v>PE</v>
      </c>
      <c r="D1277" s="12">
        <v>0</v>
      </c>
      <c r="J1277" s="10">
        <f t="shared" si="39"/>
        <v>0</v>
      </c>
    </row>
    <row r="1278" spans="1:10" x14ac:dyDescent="0.2">
      <c r="A1278" s="4" t="s">
        <v>1262</v>
      </c>
      <c r="B1278" s="4" t="s">
        <v>1047</v>
      </c>
      <c r="C1278" s="17" t="str">
        <f t="shared" si="38"/>
        <v>PE</v>
      </c>
      <c r="D1278" s="12">
        <v>0</v>
      </c>
      <c r="J1278" s="10">
        <f t="shared" si="39"/>
        <v>0</v>
      </c>
    </row>
    <row r="1279" spans="1:10" x14ac:dyDescent="0.2">
      <c r="A1279" s="4" t="s">
        <v>1263</v>
      </c>
      <c r="B1279" s="4" t="s">
        <v>1047</v>
      </c>
      <c r="C1279" s="17" t="str">
        <f t="shared" si="38"/>
        <v>PE</v>
      </c>
      <c r="D1279" s="12">
        <v>0</v>
      </c>
      <c r="J1279" s="10">
        <f t="shared" si="39"/>
        <v>0</v>
      </c>
    </row>
    <row r="1280" spans="1:10" x14ac:dyDescent="0.2">
      <c r="A1280" s="4" t="s">
        <v>1264</v>
      </c>
      <c r="B1280" s="4" t="s">
        <v>1047</v>
      </c>
      <c r="C1280" s="17" t="str">
        <f t="shared" si="38"/>
        <v>PE</v>
      </c>
      <c r="D1280" s="12">
        <v>0</v>
      </c>
      <c r="J1280" s="10">
        <f t="shared" si="39"/>
        <v>0</v>
      </c>
    </row>
    <row r="1281" spans="1:10" x14ac:dyDescent="0.2">
      <c r="A1281" s="4" t="s">
        <v>1265</v>
      </c>
      <c r="B1281" s="4" t="s">
        <v>1047</v>
      </c>
      <c r="C1281" s="17" t="str">
        <f t="shared" si="38"/>
        <v>PE</v>
      </c>
      <c r="D1281" s="12">
        <v>0</v>
      </c>
      <c r="J1281" s="10">
        <f t="shared" si="39"/>
        <v>0</v>
      </c>
    </row>
    <row r="1282" spans="1:10" x14ac:dyDescent="0.2">
      <c r="A1282" s="4" t="s">
        <v>561</v>
      </c>
      <c r="B1282" s="4" t="s">
        <v>1047</v>
      </c>
      <c r="C1282" s="17" t="str">
        <f t="shared" ref="C1282:C1332" si="40">VLOOKUP(B1282, quota_order_numbers2, 6, FALSE)</f>
        <v>PE</v>
      </c>
      <c r="D1282" s="12">
        <v>0</v>
      </c>
      <c r="J1282" s="10">
        <f t="shared" ref="J1282:J1332" si="41">VLOOKUP(B1282, quota_order_numbers2, 2, FALSE)</f>
        <v>0</v>
      </c>
    </row>
    <row r="1283" spans="1:10" x14ac:dyDescent="0.2">
      <c r="A1283" s="4" t="s">
        <v>544</v>
      </c>
      <c r="B1283" s="4" t="s">
        <v>1047</v>
      </c>
      <c r="C1283" s="17" t="str">
        <f t="shared" si="40"/>
        <v>PE</v>
      </c>
      <c r="D1283" s="12">
        <v>0</v>
      </c>
      <c r="J1283" s="10">
        <f t="shared" si="41"/>
        <v>0</v>
      </c>
    </row>
    <row r="1284" spans="1:10" x14ac:dyDescent="0.2">
      <c r="A1284" s="4" t="s">
        <v>570</v>
      </c>
      <c r="B1284" s="4" t="s">
        <v>1047</v>
      </c>
      <c r="C1284" s="17" t="str">
        <f t="shared" si="40"/>
        <v>PE</v>
      </c>
      <c r="D1284" s="12">
        <v>0</v>
      </c>
      <c r="J1284" s="10">
        <f t="shared" si="41"/>
        <v>0</v>
      </c>
    </row>
    <row r="1285" spans="1:10" x14ac:dyDescent="0.2">
      <c r="A1285" s="4" t="s">
        <v>572</v>
      </c>
      <c r="B1285" s="4" t="s">
        <v>1047</v>
      </c>
      <c r="C1285" s="17" t="str">
        <f t="shared" si="40"/>
        <v>PE</v>
      </c>
      <c r="D1285" s="12">
        <v>0</v>
      </c>
      <c r="J1285" s="10">
        <f t="shared" si="41"/>
        <v>0</v>
      </c>
    </row>
    <row r="1286" spans="1:10" x14ac:dyDescent="0.2">
      <c r="A1286" s="4" t="s">
        <v>551</v>
      </c>
      <c r="B1286" s="4" t="s">
        <v>1047</v>
      </c>
      <c r="C1286" s="17" t="str">
        <f t="shared" si="40"/>
        <v>PE</v>
      </c>
      <c r="D1286" s="12">
        <v>0</v>
      </c>
      <c r="J1286" s="10">
        <f t="shared" si="41"/>
        <v>0</v>
      </c>
    </row>
    <row r="1287" spans="1:10" x14ac:dyDescent="0.2">
      <c r="A1287" s="4" t="s">
        <v>553</v>
      </c>
      <c r="B1287" s="4" t="s">
        <v>1047</v>
      </c>
      <c r="C1287" s="17" t="str">
        <f t="shared" si="40"/>
        <v>PE</v>
      </c>
      <c r="D1287" s="12">
        <v>0</v>
      </c>
      <c r="J1287" s="10">
        <f t="shared" si="41"/>
        <v>0</v>
      </c>
    </row>
    <row r="1288" spans="1:10" x14ac:dyDescent="0.2">
      <c r="A1288" s="4" t="s">
        <v>1268</v>
      </c>
      <c r="B1288" s="4" t="s">
        <v>1047</v>
      </c>
      <c r="C1288" s="17" t="str">
        <f t="shared" si="40"/>
        <v>PE</v>
      </c>
      <c r="D1288" s="12">
        <v>0</v>
      </c>
      <c r="J1288" s="10">
        <f t="shared" si="41"/>
        <v>0</v>
      </c>
    </row>
    <row r="1289" spans="1:10" x14ac:dyDescent="0.2">
      <c r="A1289" s="4" t="s">
        <v>1269</v>
      </c>
      <c r="B1289" s="4" t="s">
        <v>1047</v>
      </c>
      <c r="C1289" s="17" t="str">
        <f t="shared" si="40"/>
        <v>PE</v>
      </c>
      <c r="D1289" s="12">
        <v>0</v>
      </c>
      <c r="J1289" s="10">
        <f t="shared" si="41"/>
        <v>0</v>
      </c>
    </row>
    <row r="1290" spans="1:10" x14ac:dyDescent="0.2">
      <c r="A1290" s="4" t="s">
        <v>1270</v>
      </c>
      <c r="B1290" s="4" t="s">
        <v>1047</v>
      </c>
      <c r="C1290" s="17" t="str">
        <f t="shared" si="40"/>
        <v>PE</v>
      </c>
      <c r="D1290" s="12">
        <v>0</v>
      </c>
      <c r="J1290" s="10">
        <f t="shared" si="41"/>
        <v>0</v>
      </c>
    </row>
    <row r="1291" spans="1:10" x14ac:dyDescent="0.2">
      <c r="A1291" s="4" t="s">
        <v>1271</v>
      </c>
      <c r="B1291" s="4" t="s">
        <v>1047</v>
      </c>
      <c r="C1291" s="17" t="str">
        <f t="shared" si="40"/>
        <v>PE</v>
      </c>
      <c r="D1291" s="12">
        <v>0</v>
      </c>
      <c r="J1291" s="10">
        <f t="shared" si="41"/>
        <v>0</v>
      </c>
    </row>
    <row r="1292" spans="1:10" x14ac:dyDescent="0.2">
      <c r="A1292" s="4" t="s">
        <v>1272</v>
      </c>
      <c r="B1292" s="4" t="s">
        <v>1047</v>
      </c>
      <c r="C1292" s="17" t="str">
        <f t="shared" si="40"/>
        <v>PE</v>
      </c>
      <c r="D1292" s="12">
        <v>0</v>
      </c>
      <c r="J1292" s="10">
        <f t="shared" si="41"/>
        <v>0</v>
      </c>
    </row>
    <row r="1293" spans="1:10" x14ac:dyDescent="0.2">
      <c r="A1293" s="4" t="s">
        <v>1273</v>
      </c>
      <c r="B1293" s="4" t="s">
        <v>1047</v>
      </c>
      <c r="C1293" s="17" t="str">
        <f t="shared" si="40"/>
        <v>PE</v>
      </c>
      <c r="D1293" s="12">
        <v>0</v>
      </c>
      <c r="J1293" s="10">
        <f t="shared" si="41"/>
        <v>0</v>
      </c>
    </row>
    <row r="1294" spans="1:10" x14ac:dyDescent="0.2">
      <c r="A1294" s="4" t="s">
        <v>1274</v>
      </c>
      <c r="B1294" s="4" t="s">
        <v>1047</v>
      </c>
      <c r="C1294" s="17" t="str">
        <f t="shared" si="40"/>
        <v>PE</v>
      </c>
      <c r="D1294" s="12">
        <v>0</v>
      </c>
      <c r="J1294" s="10">
        <f t="shared" si="41"/>
        <v>0</v>
      </c>
    </row>
    <row r="1295" spans="1:10" x14ac:dyDescent="0.2">
      <c r="A1295" s="4" t="s">
        <v>1275</v>
      </c>
      <c r="B1295" s="4" t="s">
        <v>1047</v>
      </c>
      <c r="C1295" s="17" t="str">
        <f t="shared" si="40"/>
        <v>PE</v>
      </c>
      <c r="D1295" s="12">
        <v>0</v>
      </c>
      <c r="J1295" s="10">
        <f t="shared" si="41"/>
        <v>0</v>
      </c>
    </row>
    <row r="1296" spans="1:10" x14ac:dyDescent="0.2">
      <c r="A1296" s="4" t="s">
        <v>1276</v>
      </c>
      <c r="B1296" s="4" t="s">
        <v>1047</v>
      </c>
      <c r="C1296" s="17" t="str">
        <f t="shared" si="40"/>
        <v>PE</v>
      </c>
      <c r="D1296" s="12">
        <v>0</v>
      </c>
      <c r="J1296" s="10">
        <f t="shared" si="41"/>
        <v>0</v>
      </c>
    </row>
    <row r="1297" spans="1:10" x14ac:dyDescent="0.2">
      <c r="A1297" s="4" t="s">
        <v>1277</v>
      </c>
      <c r="B1297" s="4" t="s">
        <v>1047</v>
      </c>
      <c r="C1297" s="17" t="str">
        <f t="shared" si="40"/>
        <v>PE</v>
      </c>
      <c r="D1297" s="12">
        <v>0</v>
      </c>
      <c r="J1297" s="10">
        <f t="shared" si="41"/>
        <v>0</v>
      </c>
    </row>
    <row r="1298" spans="1:10" x14ac:dyDescent="0.2">
      <c r="A1298" s="4" t="s">
        <v>1278</v>
      </c>
      <c r="B1298" s="4" t="s">
        <v>1047</v>
      </c>
      <c r="C1298" s="17" t="str">
        <f t="shared" si="40"/>
        <v>PE</v>
      </c>
      <c r="D1298" s="12">
        <v>0</v>
      </c>
      <c r="J1298" s="10">
        <f t="shared" si="41"/>
        <v>0</v>
      </c>
    </row>
    <row r="1299" spans="1:10" x14ac:dyDescent="0.2">
      <c r="A1299" s="4" t="s">
        <v>1279</v>
      </c>
      <c r="B1299" s="4" t="s">
        <v>1047</v>
      </c>
      <c r="C1299" s="17" t="str">
        <f t="shared" si="40"/>
        <v>PE</v>
      </c>
      <c r="D1299" s="12">
        <v>0</v>
      </c>
      <c r="J1299" s="10">
        <f t="shared" si="41"/>
        <v>0</v>
      </c>
    </row>
    <row r="1300" spans="1:10" x14ac:dyDescent="0.2">
      <c r="A1300" s="4" t="s">
        <v>1280</v>
      </c>
      <c r="B1300" s="4" t="s">
        <v>1047</v>
      </c>
      <c r="C1300" s="17" t="str">
        <f t="shared" si="40"/>
        <v>PE</v>
      </c>
      <c r="D1300" s="12">
        <v>0</v>
      </c>
      <c r="J1300" s="10">
        <f t="shared" si="41"/>
        <v>0</v>
      </c>
    </row>
    <row r="1301" spans="1:10" x14ac:dyDescent="0.2">
      <c r="A1301" s="4" t="s">
        <v>1281</v>
      </c>
      <c r="B1301" s="4" t="s">
        <v>1047</v>
      </c>
      <c r="C1301" s="17" t="str">
        <f t="shared" si="40"/>
        <v>PE</v>
      </c>
      <c r="D1301" s="12">
        <v>0</v>
      </c>
      <c r="J1301" s="10">
        <f t="shared" si="41"/>
        <v>0</v>
      </c>
    </row>
    <row r="1302" spans="1:10" x14ac:dyDescent="0.2">
      <c r="A1302" s="4" t="s">
        <v>1282</v>
      </c>
      <c r="B1302" s="4" t="s">
        <v>1047</v>
      </c>
      <c r="C1302" s="17" t="str">
        <f t="shared" si="40"/>
        <v>PE</v>
      </c>
      <c r="D1302" s="12">
        <v>0</v>
      </c>
      <c r="J1302" s="10">
        <f t="shared" si="41"/>
        <v>0</v>
      </c>
    </row>
    <row r="1303" spans="1:10" x14ac:dyDescent="0.2">
      <c r="A1303" s="4" t="s">
        <v>1283</v>
      </c>
      <c r="B1303" s="4" t="s">
        <v>1047</v>
      </c>
      <c r="C1303" s="17" t="str">
        <f t="shared" si="40"/>
        <v>PE</v>
      </c>
      <c r="D1303" s="12">
        <v>0</v>
      </c>
      <c r="J1303" s="10">
        <f t="shared" si="41"/>
        <v>0</v>
      </c>
    </row>
    <row r="1304" spans="1:10" x14ac:dyDescent="0.2">
      <c r="A1304" s="4" t="s">
        <v>1284</v>
      </c>
      <c r="B1304" s="4" t="s">
        <v>1047</v>
      </c>
      <c r="C1304" s="17" t="str">
        <f t="shared" si="40"/>
        <v>PE</v>
      </c>
      <c r="D1304" s="12">
        <v>0</v>
      </c>
      <c r="J1304" s="10">
        <f t="shared" si="41"/>
        <v>0</v>
      </c>
    </row>
    <row r="1305" spans="1:10" x14ac:dyDescent="0.2">
      <c r="A1305" s="4" t="s">
        <v>1285</v>
      </c>
      <c r="B1305" s="4" t="s">
        <v>1047</v>
      </c>
      <c r="C1305" s="17" t="str">
        <f t="shared" si="40"/>
        <v>PE</v>
      </c>
      <c r="D1305" s="12">
        <v>0</v>
      </c>
      <c r="J1305" s="10">
        <f t="shared" si="41"/>
        <v>0</v>
      </c>
    </row>
    <row r="1306" spans="1:10" x14ac:dyDescent="0.2">
      <c r="A1306" s="4" t="s">
        <v>1286</v>
      </c>
      <c r="B1306" s="4" t="s">
        <v>1047</v>
      </c>
      <c r="C1306" s="17" t="str">
        <f t="shared" si="40"/>
        <v>PE</v>
      </c>
      <c r="D1306" s="12">
        <v>0</v>
      </c>
      <c r="J1306" s="10">
        <f t="shared" si="41"/>
        <v>0</v>
      </c>
    </row>
    <row r="1307" spans="1:10" x14ac:dyDescent="0.2">
      <c r="A1307" s="4" t="s">
        <v>1287</v>
      </c>
      <c r="B1307" s="4" t="s">
        <v>1047</v>
      </c>
      <c r="C1307" s="17" t="str">
        <f t="shared" si="40"/>
        <v>PE</v>
      </c>
      <c r="D1307" s="12">
        <v>0</v>
      </c>
      <c r="J1307" s="10">
        <f t="shared" si="41"/>
        <v>0</v>
      </c>
    </row>
    <row r="1308" spans="1:10" x14ac:dyDescent="0.2">
      <c r="A1308" s="4" t="s">
        <v>1288</v>
      </c>
      <c r="B1308" s="4" t="s">
        <v>1047</v>
      </c>
      <c r="C1308" s="17" t="str">
        <f t="shared" si="40"/>
        <v>PE</v>
      </c>
      <c r="D1308" s="12">
        <v>0</v>
      </c>
      <c r="J1308" s="10">
        <f t="shared" si="41"/>
        <v>0</v>
      </c>
    </row>
    <row r="1309" spans="1:10" x14ac:dyDescent="0.2">
      <c r="A1309" s="4" t="s">
        <v>1289</v>
      </c>
      <c r="B1309" s="4" t="s">
        <v>1047</v>
      </c>
      <c r="C1309" s="17" t="str">
        <f t="shared" si="40"/>
        <v>PE</v>
      </c>
      <c r="D1309" s="12">
        <v>0</v>
      </c>
      <c r="J1309" s="10">
        <f t="shared" si="41"/>
        <v>0</v>
      </c>
    </row>
    <row r="1310" spans="1:10" x14ac:dyDescent="0.2">
      <c r="A1310" s="4" t="s">
        <v>1290</v>
      </c>
      <c r="B1310" s="4" t="s">
        <v>1047</v>
      </c>
      <c r="C1310" s="17" t="str">
        <f t="shared" si="40"/>
        <v>PE</v>
      </c>
      <c r="D1310" s="12">
        <v>0</v>
      </c>
      <c r="J1310" s="10">
        <f t="shared" si="41"/>
        <v>0</v>
      </c>
    </row>
    <row r="1311" spans="1:10" x14ac:dyDescent="0.2">
      <c r="A1311" s="4" t="s">
        <v>1291</v>
      </c>
      <c r="B1311" s="4" t="s">
        <v>1047</v>
      </c>
      <c r="C1311" s="17" t="str">
        <f t="shared" si="40"/>
        <v>PE</v>
      </c>
      <c r="D1311" s="12">
        <v>0</v>
      </c>
      <c r="J1311" s="10">
        <f t="shared" si="41"/>
        <v>0</v>
      </c>
    </row>
    <row r="1312" spans="1:10" x14ac:dyDescent="0.2">
      <c r="A1312" s="4" t="s">
        <v>1292</v>
      </c>
      <c r="B1312" s="4" t="s">
        <v>1047</v>
      </c>
      <c r="C1312" s="17" t="str">
        <f t="shared" si="40"/>
        <v>PE</v>
      </c>
      <c r="D1312" s="12">
        <v>0</v>
      </c>
      <c r="J1312" s="10">
        <f t="shared" si="41"/>
        <v>0</v>
      </c>
    </row>
    <row r="1313" spans="1:10" x14ac:dyDescent="0.2">
      <c r="A1313" s="4" t="s">
        <v>1293</v>
      </c>
      <c r="B1313" s="4" t="s">
        <v>1047</v>
      </c>
      <c r="C1313" s="17" t="str">
        <f t="shared" si="40"/>
        <v>PE</v>
      </c>
      <c r="D1313" s="12">
        <v>0</v>
      </c>
      <c r="J1313" s="10">
        <f t="shared" si="41"/>
        <v>0</v>
      </c>
    </row>
    <row r="1314" spans="1:10" x14ac:dyDescent="0.2">
      <c r="A1314" s="4" t="s">
        <v>1294</v>
      </c>
      <c r="B1314" s="4" t="s">
        <v>1047</v>
      </c>
      <c r="C1314" s="17" t="str">
        <f t="shared" si="40"/>
        <v>PE</v>
      </c>
      <c r="D1314" s="12">
        <v>0</v>
      </c>
      <c r="J1314" s="10">
        <f t="shared" si="41"/>
        <v>0</v>
      </c>
    </row>
    <row r="1315" spans="1:10" x14ac:dyDescent="0.2">
      <c r="A1315" s="4" t="s">
        <v>1295</v>
      </c>
      <c r="B1315" s="4" t="s">
        <v>1047</v>
      </c>
      <c r="C1315" s="17" t="str">
        <f t="shared" si="40"/>
        <v>PE</v>
      </c>
      <c r="D1315" s="12">
        <v>0</v>
      </c>
      <c r="J1315" s="10">
        <f t="shared" si="41"/>
        <v>0</v>
      </c>
    </row>
    <row r="1316" spans="1:10" x14ac:dyDescent="0.2">
      <c r="A1316" s="4" t="s">
        <v>1296</v>
      </c>
      <c r="B1316" s="4" t="s">
        <v>1047</v>
      </c>
      <c r="C1316" s="17" t="str">
        <f t="shared" si="40"/>
        <v>PE</v>
      </c>
      <c r="D1316" s="12">
        <v>0</v>
      </c>
      <c r="J1316" s="10">
        <f t="shared" si="41"/>
        <v>0</v>
      </c>
    </row>
    <row r="1317" spans="1:10" x14ac:dyDescent="0.2">
      <c r="A1317" s="4" t="s">
        <v>610</v>
      </c>
      <c r="B1317" s="4" t="s">
        <v>1047</v>
      </c>
      <c r="C1317" s="17" t="str">
        <f t="shared" si="40"/>
        <v>PE</v>
      </c>
      <c r="D1317" s="12">
        <v>0</v>
      </c>
      <c r="J1317" s="10">
        <f t="shared" si="41"/>
        <v>0</v>
      </c>
    </row>
    <row r="1318" spans="1:10" x14ac:dyDescent="0.2">
      <c r="A1318" s="4" t="s">
        <v>1297</v>
      </c>
      <c r="B1318" s="4" t="s">
        <v>1047</v>
      </c>
      <c r="C1318" s="17" t="str">
        <f t="shared" si="40"/>
        <v>PE</v>
      </c>
      <c r="D1318" s="12">
        <v>0</v>
      </c>
      <c r="J1318" s="10">
        <f t="shared" si="41"/>
        <v>0</v>
      </c>
    </row>
    <row r="1319" spans="1:10" x14ac:dyDescent="0.2">
      <c r="A1319" s="4" t="s">
        <v>1298</v>
      </c>
      <c r="B1319" s="4" t="s">
        <v>1047</v>
      </c>
      <c r="C1319" s="17" t="str">
        <f t="shared" si="40"/>
        <v>PE</v>
      </c>
      <c r="D1319" s="12">
        <v>0</v>
      </c>
      <c r="J1319" s="10">
        <f t="shared" si="41"/>
        <v>0</v>
      </c>
    </row>
    <row r="1320" spans="1:10" x14ac:dyDescent="0.2">
      <c r="A1320" s="4" t="s">
        <v>1299</v>
      </c>
      <c r="B1320" s="4" t="s">
        <v>1047</v>
      </c>
      <c r="C1320" s="17" t="str">
        <f t="shared" si="40"/>
        <v>PE</v>
      </c>
      <c r="D1320" s="12">
        <v>0</v>
      </c>
      <c r="J1320" s="10">
        <f t="shared" si="41"/>
        <v>0</v>
      </c>
    </row>
    <row r="1321" spans="1:10" x14ac:dyDescent="0.2">
      <c r="A1321" s="4" t="s">
        <v>1300</v>
      </c>
      <c r="B1321" s="4" t="s">
        <v>1047</v>
      </c>
      <c r="C1321" s="17" t="str">
        <f t="shared" si="40"/>
        <v>PE</v>
      </c>
      <c r="D1321" s="12">
        <v>0</v>
      </c>
      <c r="J1321" s="10">
        <f t="shared" si="41"/>
        <v>0</v>
      </c>
    </row>
    <row r="1322" spans="1:10" x14ac:dyDescent="0.2">
      <c r="A1322" s="4" t="s">
        <v>1301</v>
      </c>
      <c r="B1322" s="4" t="s">
        <v>1047</v>
      </c>
      <c r="C1322" s="17" t="str">
        <f t="shared" si="40"/>
        <v>PE</v>
      </c>
      <c r="D1322" s="12">
        <v>0</v>
      </c>
      <c r="J1322" s="10">
        <f t="shared" si="41"/>
        <v>0</v>
      </c>
    </row>
    <row r="1323" spans="1:10" x14ac:dyDescent="0.2">
      <c r="A1323" s="4" t="s">
        <v>1302</v>
      </c>
      <c r="B1323" s="4" t="s">
        <v>1047</v>
      </c>
      <c r="C1323" s="17" t="str">
        <f t="shared" si="40"/>
        <v>PE</v>
      </c>
      <c r="D1323" s="12">
        <v>0</v>
      </c>
      <c r="J1323" s="10">
        <f t="shared" si="41"/>
        <v>0</v>
      </c>
    </row>
    <row r="1324" spans="1:10" x14ac:dyDescent="0.2">
      <c r="A1324" s="4" t="s">
        <v>1385</v>
      </c>
      <c r="B1324" s="4" t="s">
        <v>1047</v>
      </c>
      <c r="C1324" s="17" t="str">
        <f t="shared" si="40"/>
        <v>PE</v>
      </c>
      <c r="D1324" s="12">
        <v>0</v>
      </c>
      <c r="J1324" s="10">
        <f t="shared" si="41"/>
        <v>0</v>
      </c>
    </row>
    <row r="1325" spans="1:10" x14ac:dyDescent="0.2">
      <c r="A1325" s="4" t="s">
        <v>1386</v>
      </c>
      <c r="B1325" s="4" t="s">
        <v>1047</v>
      </c>
      <c r="C1325" s="17" t="str">
        <f t="shared" si="40"/>
        <v>PE</v>
      </c>
      <c r="D1325" s="12">
        <v>0</v>
      </c>
      <c r="J1325" s="10">
        <f t="shared" si="41"/>
        <v>0</v>
      </c>
    </row>
    <row r="1326" spans="1:10" x14ac:dyDescent="0.2">
      <c r="A1326" s="4" t="s">
        <v>1303</v>
      </c>
      <c r="B1326" s="4" t="s">
        <v>1047</v>
      </c>
      <c r="C1326" s="17" t="str">
        <f t="shared" si="40"/>
        <v>PE</v>
      </c>
      <c r="D1326" s="12">
        <v>0</v>
      </c>
      <c r="J1326" s="10">
        <f t="shared" si="41"/>
        <v>0</v>
      </c>
    </row>
    <row r="1327" spans="1:10" x14ac:dyDescent="0.2">
      <c r="A1327" s="4" t="s">
        <v>1304</v>
      </c>
      <c r="B1327" s="4" t="s">
        <v>1047</v>
      </c>
      <c r="C1327" s="17" t="str">
        <f t="shared" si="40"/>
        <v>PE</v>
      </c>
      <c r="D1327" s="12">
        <v>0</v>
      </c>
      <c r="J1327" s="10">
        <f t="shared" si="41"/>
        <v>0</v>
      </c>
    </row>
    <row r="1328" spans="1:10" x14ac:dyDescent="0.2">
      <c r="A1328" s="4" t="s">
        <v>1305</v>
      </c>
      <c r="B1328" s="4" t="s">
        <v>1047</v>
      </c>
      <c r="C1328" s="17" t="str">
        <f t="shared" si="40"/>
        <v>PE</v>
      </c>
      <c r="D1328" s="12">
        <v>0</v>
      </c>
      <c r="J1328" s="10">
        <f t="shared" si="41"/>
        <v>0</v>
      </c>
    </row>
    <row r="1329" spans="1:10" x14ac:dyDescent="0.2">
      <c r="A1329" s="4" t="s">
        <v>1306</v>
      </c>
      <c r="B1329" s="4" t="s">
        <v>1047</v>
      </c>
      <c r="C1329" s="17" t="str">
        <f t="shared" si="40"/>
        <v>PE</v>
      </c>
      <c r="D1329" s="12">
        <v>0</v>
      </c>
      <c r="J1329" s="10">
        <f t="shared" si="41"/>
        <v>0</v>
      </c>
    </row>
    <row r="1330" spans="1:10" x14ac:dyDescent="0.2">
      <c r="A1330" s="4" t="s">
        <v>1307</v>
      </c>
      <c r="B1330" s="4" t="s">
        <v>1047</v>
      </c>
      <c r="C1330" s="17" t="str">
        <f t="shared" si="40"/>
        <v>PE</v>
      </c>
      <c r="D1330" s="12">
        <v>0</v>
      </c>
      <c r="J1330" s="10">
        <f t="shared" si="41"/>
        <v>0</v>
      </c>
    </row>
    <row r="1331" spans="1:10" x14ac:dyDescent="0.2">
      <c r="A1331" s="4" t="s">
        <v>1308</v>
      </c>
      <c r="B1331" s="4" t="s">
        <v>1047</v>
      </c>
      <c r="C1331" s="17" t="str">
        <f t="shared" si="40"/>
        <v>PE</v>
      </c>
      <c r="D1331" s="12">
        <v>0</v>
      </c>
      <c r="J1331" s="10">
        <f t="shared" si="41"/>
        <v>0</v>
      </c>
    </row>
    <row r="1332" spans="1:10" x14ac:dyDescent="0.2">
      <c r="A1332" s="4" t="s">
        <v>1309</v>
      </c>
      <c r="B1332" s="4" t="s">
        <v>1047</v>
      </c>
      <c r="C1332" s="17" t="str">
        <f t="shared" si="40"/>
        <v>PE</v>
      </c>
      <c r="D1332" s="12">
        <v>0</v>
      </c>
      <c r="J1332" s="10">
        <f t="shared" si="41"/>
        <v>0</v>
      </c>
    </row>
  </sheetData>
  <autoFilter ref="A1:J804" xr:uid="{93574E4A-0673-4502-B038-F586465E06A9}"/>
  <dataValidations count="3">
    <dataValidation type="list" allowBlank="1" showInputMessage="1" showErrorMessage="1" sqref="B2:C1048576" xr:uid="{F6B8CFE8-EE22-4D52-9EBC-D5A88A3A279A}">
      <formula1>quota_order_numbers</formula1>
    </dataValidation>
    <dataValidation type="list" allowBlank="1" showInputMessage="1" showErrorMessage="1" sqref="F2:F1048576" xr:uid="{B7B4A4F7-660F-4C19-8611-37A4A382BFC1}">
      <formula1>measurement_units</formula1>
    </dataValidation>
    <dataValidation type="list" allowBlank="1" showInputMessage="1" showErrorMessage="1" sqref="G2:G1048576" xr:uid="{9A0592E4-6D8D-4425-9459-ABDDD63486A5}">
      <formula1>measurement_unit_qualifiers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6043-2628-4AAC-9340-332BD1DD0033}">
  <sheetPr codeName="Sheet4"/>
  <dimension ref="A1:C43"/>
  <sheetViews>
    <sheetView workbookViewId="0">
      <pane ySplit="1" topLeftCell="A2" activePane="bottomLeft" state="frozen"/>
      <selection pane="bottomLeft" sqref="A1:C1"/>
    </sheetView>
  </sheetViews>
  <sheetFormatPr baseColWidth="10" defaultColWidth="8.83203125" defaultRowHeight="15" x14ac:dyDescent="0.2"/>
  <cols>
    <col min="1" max="1" width="24.5" bestFit="1" customWidth="1"/>
    <col min="2" max="2" width="31.83203125" style="8" bestFit="1" customWidth="1"/>
    <col min="3" max="3" width="44.33203125" bestFit="1" customWidth="1"/>
  </cols>
  <sheetData>
    <row r="1" spans="1:3" s="1" customFormat="1" x14ac:dyDescent="0.2">
      <c r="A1" s="1" t="s">
        <v>72</v>
      </c>
      <c r="B1" s="7" t="s">
        <v>71</v>
      </c>
      <c r="C1" s="1" t="s">
        <v>80</v>
      </c>
    </row>
    <row r="2" spans="1:3" x14ac:dyDescent="0.2">
      <c r="A2" t="s">
        <v>11</v>
      </c>
      <c r="B2" s="8" t="s">
        <v>53</v>
      </c>
      <c r="C2" t="s">
        <v>81</v>
      </c>
    </row>
    <row r="3" spans="1:3" x14ac:dyDescent="0.2">
      <c r="A3" t="s">
        <v>12</v>
      </c>
      <c r="B3" s="8" t="s">
        <v>54</v>
      </c>
      <c r="C3" t="s">
        <v>82</v>
      </c>
    </row>
    <row r="4" spans="1:3" x14ac:dyDescent="0.2">
      <c r="A4" t="s">
        <v>13</v>
      </c>
      <c r="B4" s="8" t="s">
        <v>55</v>
      </c>
      <c r="C4" t="s">
        <v>83</v>
      </c>
    </row>
    <row r="5" spans="1:3" x14ac:dyDescent="0.2">
      <c r="A5" t="s">
        <v>14</v>
      </c>
      <c r="B5" s="8" t="s">
        <v>56</v>
      </c>
      <c r="C5" t="s">
        <v>84</v>
      </c>
    </row>
    <row r="6" spans="1:3" x14ac:dyDescent="0.2">
      <c r="A6" t="s">
        <v>15</v>
      </c>
      <c r="B6" s="8" t="s">
        <v>57</v>
      </c>
    </row>
    <row r="7" spans="1:3" x14ac:dyDescent="0.2">
      <c r="A7" t="s">
        <v>16</v>
      </c>
      <c r="B7" s="8" t="s">
        <v>58</v>
      </c>
    </row>
    <row r="8" spans="1:3" x14ac:dyDescent="0.2">
      <c r="A8" t="s">
        <v>17</v>
      </c>
      <c r="B8" s="8" t="s">
        <v>59</v>
      </c>
    </row>
    <row r="9" spans="1:3" x14ac:dyDescent="0.2">
      <c r="A9" t="s">
        <v>18</v>
      </c>
      <c r="B9" s="8" t="s">
        <v>60</v>
      </c>
    </row>
    <row r="10" spans="1:3" x14ac:dyDescent="0.2">
      <c r="A10" t="s">
        <v>19</v>
      </c>
      <c r="B10" s="8" t="s">
        <v>61</v>
      </c>
    </row>
    <row r="11" spans="1:3" x14ac:dyDescent="0.2">
      <c r="A11" t="s">
        <v>20</v>
      </c>
      <c r="B11" s="8" t="s">
        <v>62</v>
      </c>
    </row>
    <row r="12" spans="1:3" x14ac:dyDescent="0.2">
      <c r="A12" t="s">
        <v>21</v>
      </c>
      <c r="B12" s="8" t="s">
        <v>63</v>
      </c>
    </row>
    <row r="13" spans="1:3" x14ac:dyDescent="0.2">
      <c r="A13" t="s">
        <v>22</v>
      </c>
      <c r="B13" s="8" t="s">
        <v>64</v>
      </c>
    </row>
    <row r="14" spans="1:3" x14ac:dyDescent="0.2">
      <c r="A14" t="s">
        <v>23</v>
      </c>
      <c r="B14" s="8" t="s">
        <v>65</v>
      </c>
    </row>
    <row r="15" spans="1:3" x14ac:dyDescent="0.2">
      <c r="A15" t="s">
        <v>24</v>
      </c>
      <c r="B15" s="8" t="s">
        <v>66</v>
      </c>
    </row>
    <row r="16" spans="1:3" x14ac:dyDescent="0.2">
      <c r="A16" t="s">
        <v>25</v>
      </c>
      <c r="B16" s="8" t="s">
        <v>67</v>
      </c>
    </row>
    <row r="17" spans="1:2" x14ac:dyDescent="0.2">
      <c r="A17" t="s">
        <v>26</v>
      </c>
      <c r="B17" s="8" t="s">
        <v>68</v>
      </c>
    </row>
    <row r="18" spans="1:2" x14ac:dyDescent="0.2">
      <c r="A18" t="s">
        <v>27</v>
      </c>
      <c r="B18" s="8" t="s">
        <v>69</v>
      </c>
    </row>
    <row r="19" spans="1:2" x14ac:dyDescent="0.2">
      <c r="A19" t="s">
        <v>28</v>
      </c>
      <c r="B19" s="8" t="s">
        <v>70</v>
      </c>
    </row>
    <row r="20" spans="1:2" x14ac:dyDescent="0.2">
      <c r="A20" t="s">
        <v>29</v>
      </c>
    </row>
    <row r="21" spans="1:2" x14ac:dyDescent="0.2">
      <c r="A21" t="s">
        <v>30</v>
      </c>
    </row>
    <row r="22" spans="1:2" x14ac:dyDescent="0.2">
      <c r="A22" t="s">
        <v>31</v>
      </c>
    </row>
    <row r="23" spans="1:2" x14ac:dyDescent="0.2">
      <c r="A23" t="s">
        <v>32</v>
      </c>
    </row>
    <row r="24" spans="1:2" x14ac:dyDescent="0.2">
      <c r="A24" t="s">
        <v>33</v>
      </c>
    </row>
    <row r="25" spans="1:2" x14ac:dyDescent="0.2">
      <c r="A25" t="s">
        <v>34</v>
      </c>
    </row>
    <row r="26" spans="1:2" x14ac:dyDescent="0.2">
      <c r="A26" t="s">
        <v>35</v>
      </c>
    </row>
    <row r="27" spans="1:2" x14ac:dyDescent="0.2">
      <c r="A27" t="s">
        <v>36</v>
      </c>
    </row>
    <row r="28" spans="1:2" x14ac:dyDescent="0.2">
      <c r="A28" t="s">
        <v>37</v>
      </c>
    </row>
    <row r="29" spans="1:2" x14ac:dyDescent="0.2">
      <c r="A29" t="s">
        <v>38</v>
      </c>
    </row>
    <row r="30" spans="1:2" x14ac:dyDescent="0.2">
      <c r="A30" t="s">
        <v>39</v>
      </c>
    </row>
    <row r="31" spans="1:2" x14ac:dyDescent="0.2">
      <c r="A31" t="s">
        <v>40</v>
      </c>
    </row>
    <row r="32" spans="1:2" x14ac:dyDescent="0.2">
      <c r="A32" t="s">
        <v>41</v>
      </c>
    </row>
    <row r="33" spans="1:1" x14ac:dyDescent="0.2">
      <c r="A33" t="s">
        <v>42</v>
      </c>
    </row>
    <row r="34" spans="1:1" x14ac:dyDescent="0.2">
      <c r="A34" t="s">
        <v>43</v>
      </c>
    </row>
    <row r="35" spans="1:1" x14ac:dyDescent="0.2">
      <c r="A35" t="s">
        <v>44</v>
      </c>
    </row>
    <row r="36" spans="1:1" x14ac:dyDescent="0.2">
      <c r="A36" t="s">
        <v>45</v>
      </c>
    </row>
    <row r="37" spans="1:1" x14ac:dyDescent="0.2">
      <c r="A37" t="s">
        <v>46</v>
      </c>
    </row>
    <row r="38" spans="1:1" x14ac:dyDescent="0.2">
      <c r="A38" t="s">
        <v>47</v>
      </c>
    </row>
    <row r="39" spans="1:1" x14ac:dyDescent="0.2">
      <c r="A39" t="s">
        <v>48</v>
      </c>
    </row>
    <row r="40" spans="1:1" x14ac:dyDescent="0.2">
      <c r="A40" t="s">
        <v>49</v>
      </c>
    </row>
    <row r="41" spans="1:1" x14ac:dyDescent="0.2">
      <c r="A41" t="s">
        <v>50</v>
      </c>
    </row>
    <row r="42" spans="1:1" x14ac:dyDescent="0.2">
      <c r="A42" t="s">
        <v>51</v>
      </c>
    </row>
    <row r="43" spans="1:1" x14ac:dyDescent="0.2">
      <c r="A43" t="s">
        <v>52</v>
      </c>
    </row>
  </sheetData>
  <pageMargins left="0.7" right="0.7" top="0.75" bottom="0.75" header="0.3" footer="0.3"/>
</worksheet>
</file>

<file path=customUI/customUI14.xml><?xml version="1.0" encoding="utf-8"?>
<customUI xmlns="http://schemas.microsoft.com/office/2009/07/customui">
  <ribbon startFromScratch="false">
    <tabs>
      <tab id="tabQuotas" label="Quotas">
        <group id="customGroup" label="Extract">
          <button id="customButton" label="Extract CSV" imageMso="HappyFace" size="large" onAction="ExtractCSV"/>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Order numbers</vt:lpstr>
      <vt:lpstr>Definitions</vt:lpstr>
      <vt:lpstr>Commodities</vt:lpstr>
      <vt:lpstr>Lookups</vt:lpstr>
      <vt:lpstr>measure_types</vt:lpstr>
      <vt:lpstr>measurement_unit_qualifiers</vt:lpstr>
      <vt:lpstr>measurement_units</vt:lpstr>
      <vt:lpstr>quota_order_numbers</vt:lpstr>
      <vt:lpstr>quota_order_numbers2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2019-02-18T16:05:21Z</dcterms:created>
  <dcterms:modified xsi:type="dcterms:W3CDTF">2019-07-21T11:16:53Z</dcterms:modified>
</cp:coreProperties>
</file>