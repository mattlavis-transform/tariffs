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18D958DF-C8B9-4A3E-A3B0-1A00DE7CD128}" xr6:coauthVersionLast="36" xr6:coauthVersionMax="36" xr10:uidLastSave="{00000000-0000-0000-0000-000000000000}"/>
  <bookViews>
    <workbookView xWindow="0" yWindow="0" windowWidth="28800" windowHeight="12225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</sheets>
  <functionGroups builtInGroupCount="19"/>
  <definedNames>
    <definedName name="_xlnm._FilterDatabase" localSheetId="2" hidden="1">Commodities!$A$1:$J$1</definedName>
    <definedName name="_xlnm._FilterDatabase" localSheetId="1" hidden="1">Definitions!$A$1:$P$2</definedName>
    <definedName name="_xlnm._FilterDatabase" localSheetId="0" hidden="1">'Order numbers'!$A$1:$J$97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2" i="4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D23" i="1"/>
  <c r="D22" i="1"/>
  <c r="D21" i="1"/>
  <c r="D20" i="1"/>
  <c r="D15" i="1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D17" i="1"/>
  <c r="D16" i="1"/>
  <c r="D12" i="1"/>
  <c r="D11" i="1"/>
  <c r="D7" i="1"/>
  <c r="D10" i="1"/>
  <c r="D3" i="1"/>
  <c r="D9" i="1"/>
  <c r="D8" i="1"/>
  <c r="D25" i="1"/>
  <c r="D26" i="1"/>
  <c r="D27" i="1"/>
  <c r="D28" i="1"/>
  <c r="D30" i="1"/>
  <c r="D31" i="1"/>
  <c r="D35" i="1"/>
  <c r="D33" i="1"/>
  <c r="D34" i="1"/>
  <c r="D39" i="1"/>
  <c r="D37" i="1"/>
  <c r="D38" i="1"/>
  <c r="D44" i="1"/>
  <c r="D45" i="1"/>
  <c r="D42" i="1"/>
  <c r="D43" i="1"/>
  <c r="D47" i="1"/>
  <c r="D48" i="1"/>
  <c r="D53" i="1"/>
  <c r="D50" i="1"/>
  <c r="D51" i="1"/>
  <c r="D52" i="1"/>
  <c r="D56" i="1"/>
  <c r="D57" i="1"/>
  <c r="D59" i="1"/>
  <c r="D60" i="1"/>
  <c r="D61" i="1"/>
  <c r="D63" i="1"/>
  <c r="D64" i="1"/>
  <c r="D69" i="1"/>
  <c r="D66" i="1"/>
  <c r="D67" i="1"/>
  <c r="D68" i="1"/>
  <c r="D73" i="1"/>
  <c r="D71" i="1"/>
  <c r="D72" i="1"/>
  <c r="D77" i="1"/>
  <c r="D78" i="1"/>
  <c r="D85" i="1"/>
  <c r="D84" i="1"/>
  <c r="D79" i="1"/>
  <c r="D82" i="1"/>
  <c r="D83" i="1"/>
  <c r="D89" i="1"/>
  <c r="D87" i="1"/>
  <c r="D88" i="1"/>
  <c r="D97" i="1"/>
  <c r="D91" i="1"/>
  <c r="D93" i="1"/>
  <c r="D94" i="1"/>
  <c r="D4" i="1"/>
  <c r="D19" i="1"/>
  <c r="D18" i="1"/>
  <c r="D14" i="1"/>
  <c r="D13" i="1"/>
  <c r="D95" i="1"/>
  <c r="D96" i="1"/>
  <c r="D92" i="1"/>
  <c r="D90" i="1"/>
  <c r="D86" i="1"/>
  <c r="D81" i="1"/>
  <c r="D80" i="1"/>
  <c r="D75" i="1"/>
  <c r="D76" i="1"/>
  <c r="D74" i="1"/>
  <c r="D70" i="1"/>
  <c r="D65" i="1"/>
  <c r="D62" i="1"/>
  <c r="D58" i="1"/>
  <c r="D55" i="1"/>
  <c r="D54" i="1"/>
  <c r="D49" i="1"/>
  <c r="D46" i="1"/>
  <c r="D40" i="1"/>
  <c r="D41" i="1"/>
  <c r="D36" i="1"/>
  <c r="D32" i="1"/>
  <c r="D29" i="1"/>
  <c r="D24" i="1"/>
  <c r="D6" i="1"/>
  <c r="D5" i="1"/>
  <c r="D2" i="1"/>
  <c r="Q2" i="2" l="1"/>
  <c r="C2" i="2" l="1"/>
  <c r="P2" i="2" l="1"/>
  <c r="F2" i="2" l="1"/>
</calcChain>
</file>

<file path=xl/sharedStrings.xml><?xml version="1.0" encoding="utf-8"?>
<sst xmlns="http://schemas.openxmlformats.org/spreadsheetml/2006/main" count="3015" uniqueCount="589">
  <si>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</si>
  <si>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</si>
  <si>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</si>
  <si>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</si>
  <si>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</si>
  <si>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</si>
  <si>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</si>
  <si>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</si>
  <si>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</si>
  <si>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</si>
  <si>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</si>
  <si>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</si>
  <si>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</si>
  <si>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</si>
  <si>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</si>
  <si>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</si>
  <si>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</si>
  <si>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</si>
  <si>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</si>
  <si>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</si>
  <si>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</si>
  <si>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</si>
  <si>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</si>
  <si>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</si>
  <si>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</si>
  <si>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</si>
  <si>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</si>
  <si>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</si>
  <si>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</si>
  <si>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</si>
  <si>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</si>
  <si>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</si>
  <si>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</si>
  <si>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</si>
  <si>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</si>
  <si>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</si>
  <si>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</si>
  <si>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</si>
  <si>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</si>
  <si>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</si>
  <si>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</si>
  <si>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</si>
  <si>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</si>
  <si>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</si>
  <si>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</si>
  <si>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</si>
  <si>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</si>
  <si>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</si>
  <si>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</si>
  <si>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</si>
  <si>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</si>
  <si>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</si>
  <si>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</si>
  <si>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</si>
  <si>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</si>
  <si>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</si>
  <si>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</si>
  <si>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</si>
  <si>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</si>
  <si>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</si>
  <si>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</si>
  <si>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</si>
  <si>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</si>
  <si>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</si>
  <si>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</si>
  <si>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</si>
  <si>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</si>
  <si>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</si>
  <si>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</si>
  <si>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</si>
  <si>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</si>
  <si>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</si>
  <si>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</si>
  <si>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</si>
  <si>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</si>
  <si>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</si>
  <si>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</si>
  <si>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</si>
  <si>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</si>
  <si>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</si>
  <si>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</si>
  <si>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</si>
  <si>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</si>
  <si>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</si>
  <si>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</si>
  <si>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</si>
  <si>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</si>
  <si>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</si>
  <si>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</si>
  <si>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monetary_unit</t>
  </si>
  <si>
    <t>measurement unit qualifier</t>
  </si>
  <si>
    <t>New?</t>
  </si>
  <si>
    <t>Method</t>
  </si>
  <si>
    <t>Y</t>
  </si>
  <si>
    <t>origin (lookup)</t>
  </si>
  <si>
    <t>start date overrride</t>
  </si>
  <si>
    <t>end date override</t>
  </si>
  <si>
    <t>Length</t>
  </si>
  <si>
    <t>NO</t>
  </si>
  <si>
    <t>Omit</t>
  </si>
  <si>
    <t>country</t>
  </si>
  <si>
    <t>type</t>
  </si>
  <si>
    <t>omit</t>
  </si>
  <si>
    <t>measure type</t>
  </si>
  <si>
    <t>098201</t>
  </si>
  <si>
    <t>098202</t>
  </si>
  <si>
    <t>098601</t>
  </si>
  <si>
    <t>098602</t>
  </si>
  <si>
    <t>098603</t>
  </si>
  <si>
    <t>098802</t>
  </si>
  <si>
    <t>098801</t>
  </si>
  <si>
    <t>098203</t>
  </si>
  <si>
    <t>098204</t>
  </si>
  <si>
    <t>098205</t>
  </si>
  <si>
    <t>098206</t>
  </si>
  <si>
    <t>098207</t>
  </si>
  <si>
    <t>098208</t>
  </si>
  <si>
    <t>098209</t>
  </si>
  <si>
    <t>098210</t>
  </si>
  <si>
    <t>098211</t>
  </si>
  <si>
    <t>098212</t>
  </si>
  <si>
    <t>098213</t>
  </si>
  <si>
    <t>098214</t>
  </si>
  <si>
    <t>098215</t>
  </si>
  <si>
    <t>098216</t>
  </si>
  <si>
    <t>098217</t>
  </si>
  <si>
    <t>098218</t>
  </si>
  <si>
    <t>098219</t>
  </si>
  <si>
    <t>098220</t>
  </si>
  <si>
    <t>098221</t>
  </si>
  <si>
    <t>098222</t>
  </si>
  <si>
    <t>098223</t>
  </si>
  <si>
    <t>098224</t>
  </si>
  <si>
    <t>098225</t>
  </si>
  <si>
    <t>098226</t>
  </si>
  <si>
    <t>098227</t>
  </si>
  <si>
    <t>Steel safeguards category 12 - Non Alloy and Other Alloy Merchant Bars and Light for EU</t>
  </si>
  <si>
    <t>Steel safeguards category 13 - Rebars for EU</t>
  </si>
  <si>
    <t>Steel safeguards category 13 - Rebars for Belarus</t>
  </si>
  <si>
    <t>Steel safeguards category 14 - Stainless Bars and Light Sections for EU</t>
  </si>
  <si>
    <t>Steel safeguards category 15 - Stainless Wire Rod for EU</t>
  </si>
  <si>
    <t>Steel safeguards category 15 - Stainless Wire Rod for USA</t>
  </si>
  <si>
    <t>Steel safeguards category 16 - Non Alloy and Other Alloy Wire Rod for EU</t>
  </si>
  <si>
    <t>Steel safeguards category 17 - Angles, Shapes and Sections of Iron or Non Alloy Steel for EU</t>
  </si>
  <si>
    <t>Steel safeguards category 19 - Railway Material for EU</t>
  </si>
  <si>
    <t>Steel safeguards category 20 - Gas Pipes for EU</t>
  </si>
  <si>
    <t>Steel safeguards category 21 - Hollow sections for EU</t>
  </si>
  <si>
    <t>Steel safeguards category 25 - Large welded tubes for EU</t>
  </si>
  <si>
    <t>Steel safeguards category 25 - Large welded tubes for Korea</t>
  </si>
  <si>
    <t>Steel safeguards category 25 - Large welded tubes for Japan</t>
  </si>
  <si>
    <t>Steel safeguards category 26 - Other Welded Pipes for EU</t>
  </si>
  <si>
    <t>Steel safeguards category 26 - Other Welded Pipes for Norway</t>
  </si>
  <si>
    <t>Steel safeguards category 27 - Non-Alloy and other alloy cold finished bars for EU</t>
  </si>
  <si>
    <t>Steel safeguards category 27 - Non-Alloy and other alloy cold finished bars for Turkey</t>
  </si>
  <si>
    <t>Steel safeguards category 28 - Non Alloy Wire for EU</t>
  </si>
  <si>
    <t>Steel safeguards category 28 - Non Alloy Wire for Thailand</t>
  </si>
  <si>
    <t>Steel safeguards category 28 - Non Alloy Wire for South Africa</t>
  </si>
  <si>
    <t>098228</t>
  </si>
  <si>
    <t>098229</t>
  </si>
  <si>
    <t>N1900350</t>
  </si>
  <si>
    <t>EU</t>
  </si>
  <si>
    <t>TR</t>
  </si>
  <si>
    <t>US</t>
  </si>
  <si>
    <t>ZA</t>
  </si>
  <si>
    <t>TH</t>
  </si>
  <si>
    <t>JP</t>
  </si>
  <si>
    <t>KR</t>
  </si>
  <si>
    <t>BY</t>
  </si>
  <si>
    <t>TW</t>
  </si>
  <si>
    <t>098230</t>
  </si>
  <si>
    <t>098231</t>
  </si>
  <si>
    <t>098604</t>
  </si>
  <si>
    <t>098827</t>
  </si>
  <si>
    <t>098614</t>
  </si>
  <si>
    <t>098613</t>
  </si>
  <si>
    <t>098831</t>
  </si>
  <si>
    <t>098616</t>
  </si>
  <si>
    <t>098615</t>
  </si>
  <si>
    <t>098836</t>
  </si>
  <si>
    <t>098618</t>
  </si>
  <si>
    <t>098617</t>
  </si>
  <si>
    <t>098862</t>
  </si>
  <si>
    <t>098626</t>
  </si>
  <si>
    <t>098625</t>
  </si>
  <si>
    <t>098866</t>
  </si>
  <si>
    <t>098868</t>
  </si>
  <si>
    <t>098628</t>
  </si>
  <si>
    <t>098627</t>
  </si>
  <si>
    <t>098630</t>
  </si>
  <si>
    <t>098639</t>
  </si>
  <si>
    <t>098877</t>
  </si>
  <si>
    <t>098878</t>
  </si>
  <si>
    <t>098632</t>
  </si>
  <si>
    <t>098631</t>
  </si>
  <si>
    <t>098634</t>
  </si>
  <si>
    <t>098633</t>
  </si>
  <si>
    <t>098636</t>
  </si>
  <si>
    <t>098635</t>
  </si>
  <si>
    <t>098907</t>
  </si>
  <si>
    <t>098640</t>
  </si>
  <si>
    <t>098911</t>
  </si>
  <si>
    <t>098642</t>
  </si>
  <si>
    <t>098641</t>
  </si>
  <si>
    <t>098916</t>
  </si>
  <si>
    <t>098644</t>
  </si>
  <si>
    <t>098650</t>
  </si>
  <si>
    <t>098649</t>
  </si>
  <si>
    <t>098948</t>
  </si>
  <si>
    <t>098947</t>
  </si>
  <si>
    <t>098949</t>
  </si>
  <si>
    <t>098652</t>
  </si>
  <si>
    <t>098651</t>
  </si>
  <si>
    <t>098956</t>
  </si>
  <si>
    <t>098653</t>
  </si>
  <si>
    <t>098654</t>
  </si>
  <si>
    <t>098964</t>
  </si>
  <si>
    <t>098962</t>
  </si>
  <si>
    <t>098656</t>
  </si>
  <si>
    <t>098655</t>
  </si>
  <si>
    <t>5002</t>
  </si>
  <si>
    <t>IN</t>
  </si>
  <si>
    <t>Steel safeguards category 12 - Non Alloy and Other Alloy Merchant Bars and Light for Turkey</t>
  </si>
  <si>
    <t>Steel safeguards category 13 - Rebars for Turkey</t>
  </si>
  <si>
    <t>Steel safeguards category 13 - Rebars for Ukraine</t>
  </si>
  <si>
    <t>098629</t>
  </si>
  <si>
    <t>Steel safeguards category 15 - Stainless Wire Rod for Taiwan</t>
  </si>
  <si>
    <t>Steel safeguards category 15 - Stainless Wire Rod for Korea</t>
  </si>
  <si>
    <t>Steel safeguards category 19 - Railway Material for China</t>
  </si>
  <si>
    <t>Steel safeguards category 20 - Gas Pipes for Turkey</t>
  </si>
  <si>
    <t>098912</t>
  </si>
  <si>
    <t>Steel safeguards category 20 - Gas Pipes for India</t>
  </si>
  <si>
    <t>Steel safeguards category 21 - Hollow sections for Turkey</t>
  </si>
  <si>
    <t>Steel safeguards category 26 - Other Welded Pipes for UAE</t>
  </si>
  <si>
    <t>Steel safeguards category 26 - Other Welded Pipes for Turkey</t>
  </si>
  <si>
    <t>Steel safeguards category 26 - Other Welded Pipes for China</t>
  </si>
  <si>
    <t>Steel safeguards category 27 - Non-Alloy and other alloy cold finished bars for Russia</t>
  </si>
  <si>
    <t>Steel safeguards category 28 - Non Alloy Wire for Turkey</t>
  </si>
  <si>
    <t>Steel safeguards category 28 - Non Alloy Wire for China</t>
  </si>
  <si>
    <t>CN</t>
  </si>
  <si>
    <t>UA</t>
  </si>
  <si>
    <t>AE</t>
  </si>
  <si>
    <t>RU</t>
  </si>
  <si>
    <t>098609</t>
  </si>
  <si>
    <t>098610</t>
  </si>
  <si>
    <t>098816</t>
  </si>
  <si>
    <t>Steel safeguards category 12 - Non Alloy and Other Alloy Merchant Bars and Light for Other countries - 3 months</t>
  </si>
  <si>
    <t>Steel safeguards category 12 - Non Alloy and Other Alloy Merchant Bars and Light for Other countries - 9 months</t>
  </si>
  <si>
    <t>Steel safeguards category 13 - Rebars for Other countries - 3 months</t>
  </si>
  <si>
    <t>Steel safeguards category 13 - Rebars for Other countries - 9 months</t>
  </si>
  <si>
    <t>Steel safeguards category 14 - Stainless Bars and Light Sections for Other countries - 3 months</t>
  </si>
  <si>
    <t>Steel safeguards category 14 - Stainless Bars and Light Sections for Other countries - 9 months</t>
  </si>
  <si>
    <t>Steel safeguards category 15 - Stainless Wire Rod for Other countries - 3 months</t>
  </si>
  <si>
    <t>Steel safeguards category 15 - Stainless Wire Rod for Other countries - 9 months</t>
  </si>
  <si>
    <t>Steel safeguards category 16 - Non Alloy and Other Alloy Wire Rod for Other countries - 3 months</t>
  </si>
  <si>
    <t>Steel safeguards category 16 - Non Alloy and Other Alloy Wire Rod for Other countries - 9 months</t>
  </si>
  <si>
    <t>Steel safeguards category 17 - Angles, Shapes and Sections of Iron or Non Alloy Steel for Other countries - 3 months</t>
  </si>
  <si>
    <t>Steel safeguards category 17 - Angles, Shapes and Sections of Iron or Non Alloy Steel for Other countries - 9 months</t>
  </si>
  <si>
    <t>Steel safeguards category 19 - Railway Material for Other countries - 3 months</t>
  </si>
  <si>
    <t>Steel safeguards category 19 - Railway Material for Other countries - 9 months</t>
  </si>
  <si>
    <t>Steel safeguards category 20 - Gas Pipes for Other countries - 3 months</t>
  </si>
  <si>
    <t>Steel safeguards category 20 - Gas Pipes for Other countries - 9 months</t>
  </si>
  <si>
    <t>098643</t>
  </si>
  <si>
    <t>Steel safeguards category 21 - Hollow sections for Other countries - 3 months</t>
  </si>
  <si>
    <t>Steel safeguards category 21 - Hollow sections for Other countries - 9 months</t>
  </si>
  <si>
    <t>Steel safeguards category 25 - Large welded tubes for Other countries - 3 months</t>
  </si>
  <si>
    <t>Steel safeguards category 25 - Large welded tubes for Other countries - 9 months</t>
  </si>
  <si>
    <t>Steel safeguards category 26 - Other Welded Pipes for Other countries - 3 months</t>
  </si>
  <si>
    <t>Steel safeguards category 26 - Other Welded Pipes for Other countries - 9 months</t>
  </si>
  <si>
    <t>Steel safeguards category 27 - Non-Alloy and other alloy cold finished bars for Other countries - 3 months</t>
  </si>
  <si>
    <t>Steel safeguards category 27 - Non-Alloy and other alloy cold finished bars for Other countries - 9 months</t>
  </si>
  <si>
    <t>Steel safeguards category 28 - Non Alloy Wire for Other countries - 3 months</t>
  </si>
  <si>
    <t>Steel safeguards category 28 - Non Alloy Wire for Other countries - 9 months</t>
  </si>
  <si>
    <t>Steel safeguards category 01 - Non Alloy and Other Alloy Hot Rolled Sheets and Strips for EU</t>
  </si>
  <si>
    <t>Steel safeguards category 01 - Non Alloy and Other Alloy Hot Rolled Sheets and Strips for Turkey</t>
  </si>
  <si>
    <t>Steel safeguards category 02 - Non Alloy and Other Alloy Cold Rolled Sheets for EU</t>
  </si>
  <si>
    <t>Steel safeguards category 05 - Organic Coated Sheets for EU</t>
  </si>
  <si>
    <t>Steel safeguards category 06 - Tin Mill products for EU</t>
  </si>
  <si>
    <t>Steel safeguards category 07 - Non Alloy and Other Alloy Quarto Plates for EU</t>
  </si>
  <si>
    <t>Steel safeguards category 01 - Non Alloy and Other Alloy Hot Rolled Sheets and Strips for Other countries - 9 month</t>
  </si>
  <si>
    <t>Steel safeguards category 01 - Non Alloy and Other Alloy Hot Rolled Sheets and Strips for Other countries - 3 months</t>
  </si>
  <si>
    <t>Steel safeguards category 02 - Non Alloy and Other Alloy Cold Rolled Sheets for South Korea</t>
  </si>
  <si>
    <t>Steel safeguards category 02 - Non Alloy and Other Alloy Cold Rolled Sheets for India</t>
  </si>
  <si>
    <t>Steel safeguards category 02 - Non Alloy and Other Alloy Cold Rolled Sheets for Other countries - 9 months</t>
  </si>
  <si>
    <t>Steel safeguards category 02 - Non Alloy and Other Alloy Cold Rolled Sheets for Other countries - 3 months</t>
  </si>
  <si>
    <t>Steel safeguards category 05 - Organic Coated Sheets for Korea</t>
  </si>
  <si>
    <t>Steel safeguards category 05 - Organic Coated Sheets for Other countries - 3 months</t>
  </si>
  <si>
    <t>Steel safeguards category 05 - Organic Coated Sheets for Other countries - 9 months</t>
  </si>
  <si>
    <t>Steel safeguards category 06 - Tin Mill products for China</t>
  </si>
  <si>
    <t>Steel safeguards category 06 - Tin Mill products for Other countries - 3 months</t>
  </si>
  <si>
    <t>Steel safeguards category 06 - Tin Mill products for Other countries - 9 months</t>
  </si>
  <si>
    <t>Steel safeguards category 07 - Non Alloy and Other Alloy Quarto Plates for Ukraine</t>
  </si>
  <si>
    <t>Steel safeguards category 07 - Non Alloy and Other Alloy Quarto Plates for Other countries - 3 months</t>
  </si>
  <si>
    <t>Steel safeguards category 07 - Non Alloy and Other Alloy Quarto Plates for Other countries - 9 months</t>
  </si>
  <si>
    <t>Steel safeguards category 04a - Metallic Coated Sheets - Other countries - 3 months</t>
  </si>
  <si>
    <t>Steel safeguards category 04a - Metallic Coated Sheets - Other countries - 9 months</t>
  </si>
  <si>
    <t>Steel safeguards category 04b - Metallic Coated Sheets - Other countries - 3 months</t>
  </si>
  <si>
    <t>Steel safeguards category 04b - Metallic Coated Sheets - Other countries - 9 months</t>
  </si>
  <si>
    <t>Steel safeguards category 04a - Metallic Coated Sheets for EU</t>
  </si>
  <si>
    <t>Steel safeguards category 04a - Metallic Coated Sheets for Taiwan</t>
  </si>
  <si>
    <t>Steel safeguards category 04b - Metallic Coated Sheets for EU</t>
  </si>
  <si>
    <t>Steel safeguards category 04b - Metallic Coated Sheets for Turkey</t>
  </si>
  <si>
    <t>Steel safeguards category 04a - Metallic Coated Sheets for South Korea</t>
  </si>
  <si>
    <t>Steel safeguards category 04b - Metallic Coated Sheets for China</t>
  </si>
  <si>
    <t>Steel safeguards category 04b - Metallic Coated Sheets for India</t>
  </si>
  <si>
    <t>Steel safeguards category 04b - Metallic Coated Sheets for South Korea</t>
  </si>
  <si>
    <t>Steel safeguards category 04b - Metallic Coated Sheets for Taiwan</t>
  </si>
  <si>
    <t>098824</t>
  </si>
  <si>
    <t>098821</t>
  </si>
  <si>
    <t>098822</t>
  </si>
  <si>
    <t>098823</t>
  </si>
  <si>
    <t>098612</t>
  </si>
  <si>
    <t>098611</t>
  </si>
  <si>
    <t>72081000</t>
  </si>
  <si>
    <t>72082500</t>
  </si>
  <si>
    <t>72082600</t>
  </si>
  <si>
    <t>72082700</t>
  </si>
  <si>
    <t>72083600</t>
  </si>
  <si>
    <t>72083700</t>
  </si>
  <si>
    <t>72083800</t>
  </si>
  <si>
    <t>72083900</t>
  </si>
  <si>
    <t>72084000</t>
  </si>
  <si>
    <t>72085210</t>
  </si>
  <si>
    <t>72085299</t>
  </si>
  <si>
    <t>72085310</t>
  </si>
  <si>
    <t>72085390</t>
  </si>
  <si>
    <t>72085400</t>
  </si>
  <si>
    <t>72111300</t>
  </si>
  <si>
    <t>72111400</t>
  </si>
  <si>
    <t>72111900</t>
  </si>
  <si>
    <t>72126000</t>
  </si>
  <si>
    <t>72251910</t>
  </si>
  <si>
    <t>72253010</t>
  </si>
  <si>
    <t>72253030</t>
  </si>
  <si>
    <t>72253090</t>
  </si>
  <si>
    <t>72254015</t>
  </si>
  <si>
    <t>72254090</t>
  </si>
  <si>
    <t>72261910</t>
  </si>
  <si>
    <t>72269120</t>
  </si>
  <si>
    <t>72269191</t>
  </si>
  <si>
    <t>72269199</t>
  </si>
  <si>
    <t>72091500</t>
  </si>
  <si>
    <t>72091690</t>
  </si>
  <si>
    <t>72091790</t>
  </si>
  <si>
    <t>72091891</t>
  </si>
  <si>
    <t>72092500</t>
  </si>
  <si>
    <t>72092690</t>
  </si>
  <si>
    <t>72092790</t>
  </si>
  <si>
    <t>72092890</t>
  </si>
  <si>
    <t>72099020</t>
  </si>
  <si>
    <t>72099080</t>
  </si>
  <si>
    <t>72112320</t>
  </si>
  <si>
    <t>72112330</t>
  </si>
  <si>
    <t>72112380</t>
  </si>
  <si>
    <t>72112900</t>
  </si>
  <si>
    <t>72119020</t>
  </si>
  <si>
    <t>72119080</t>
  </si>
  <si>
    <t>72255020</t>
  </si>
  <si>
    <t>72255080</t>
  </si>
  <si>
    <t>72262000</t>
  </si>
  <si>
    <t>72269200</t>
  </si>
  <si>
    <t>72107080</t>
  </si>
  <si>
    <t>72124080</t>
  </si>
  <si>
    <t>72091899</t>
  </si>
  <si>
    <t>72101100</t>
  </si>
  <si>
    <t>72101220</t>
  </si>
  <si>
    <t>72101280</t>
  </si>
  <si>
    <t>72105000</t>
  </si>
  <si>
    <t>72107010</t>
  </si>
  <si>
    <t>72109040</t>
  </si>
  <si>
    <t>72121010</t>
  </si>
  <si>
    <t>72121090</t>
  </si>
  <si>
    <t>72124020</t>
  </si>
  <si>
    <t>72085120</t>
  </si>
  <si>
    <t>72085191</t>
  </si>
  <si>
    <t>72085198</t>
  </si>
  <si>
    <t>72085291</t>
  </si>
  <si>
    <t>72089020</t>
  </si>
  <si>
    <t>72089080</t>
  </si>
  <si>
    <t>72109030</t>
  </si>
  <si>
    <t>72254012</t>
  </si>
  <si>
    <t>72254040</t>
  </si>
  <si>
    <t>72254060</t>
  </si>
  <si>
    <t>72143000</t>
  </si>
  <si>
    <t>72149110</t>
  </si>
  <si>
    <t>72149190</t>
  </si>
  <si>
    <t>72149931</t>
  </si>
  <si>
    <t>72149939</t>
  </si>
  <si>
    <t>72149950</t>
  </si>
  <si>
    <t>72149971</t>
  </si>
  <si>
    <t>72149979</t>
  </si>
  <si>
    <t>72149995</t>
  </si>
  <si>
    <t>72159000</t>
  </si>
  <si>
    <t>72161000</t>
  </si>
  <si>
    <t>72162100</t>
  </si>
  <si>
    <t>72162200</t>
  </si>
  <si>
    <t>72164010</t>
  </si>
  <si>
    <t>72164090</t>
  </si>
  <si>
    <t>72165010</t>
  </si>
  <si>
    <t>72165091</t>
  </si>
  <si>
    <t>72165099</t>
  </si>
  <si>
    <t>72169900</t>
  </si>
  <si>
    <t>72281020</t>
  </si>
  <si>
    <t>72282010</t>
  </si>
  <si>
    <t>72282091</t>
  </si>
  <si>
    <t>72283020</t>
  </si>
  <si>
    <t>72283041</t>
  </si>
  <si>
    <t>72283049</t>
  </si>
  <si>
    <t>72283061</t>
  </si>
  <si>
    <t>72283069</t>
  </si>
  <si>
    <t>72283070</t>
  </si>
  <si>
    <t>72283089</t>
  </si>
  <si>
    <t>72286020</t>
  </si>
  <si>
    <t>72286080</t>
  </si>
  <si>
    <t>72287010</t>
  </si>
  <si>
    <t>72287090</t>
  </si>
  <si>
    <t>72288000</t>
  </si>
  <si>
    <t>72221111</t>
  </si>
  <si>
    <t>72221119</t>
  </si>
  <si>
    <t>72221181</t>
  </si>
  <si>
    <t>72221189</t>
  </si>
  <si>
    <t>72221910</t>
  </si>
  <si>
    <t>72221990</t>
  </si>
  <si>
    <t>72222011</t>
  </si>
  <si>
    <t>72222019</t>
  </si>
  <si>
    <t>72222021</t>
  </si>
  <si>
    <t>72222029</t>
  </si>
  <si>
    <t>72222031</t>
  </si>
  <si>
    <t>72222039</t>
  </si>
  <si>
    <t>72222081</t>
  </si>
  <si>
    <t>72222089</t>
  </si>
  <si>
    <t>72223051</t>
  </si>
  <si>
    <t>72223091</t>
  </si>
  <si>
    <t>72223097</t>
  </si>
  <si>
    <t>72224010</t>
  </si>
  <si>
    <t>72224050</t>
  </si>
  <si>
    <t>72224090 </t>
  </si>
  <si>
    <t>72210010</t>
  </si>
  <si>
    <t>72210090 </t>
  </si>
  <si>
    <t>72131000</t>
  </si>
  <si>
    <t>72132000</t>
  </si>
  <si>
    <t>72139110</t>
  </si>
  <si>
    <t>72139120</t>
  </si>
  <si>
    <t>72139141</t>
  </si>
  <si>
    <t>72139149</t>
  </si>
  <si>
    <t>72139170</t>
  </si>
  <si>
    <t>72139190</t>
  </si>
  <si>
    <t>72139910</t>
  </si>
  <si>
    <t>72139990</t>
  </si>
  <si>
    <t>72271000</t>
  </si>
  <si>
    <t>72272000</t>
  </si>
  <si>
    <t>72279010</t>
  </si>
  <si>
    <t>72279050</t>
  </si>
  <si>
    <t>72279095</t>
  </si>
  <si>
    <t>72163110</t>
  </si>
  <si>
    <t>72163190</t>
  </si>
  <si>
    <t>72163211</t>
  </si>
  <si>
    <t>72163219</t>
  </si>
  <si>
    <t>72163291</t>
  </si>
  <si>
    <t>72163299</t>
  </si>
  <si>
    <t>72163310</t>
  </si>
  <si>
    <t>72163390</t>
  </si>
  <si>
    <t>73021022</t>
  </si>
  <si>
    <t>73021028</t>
  </si>
  <si>
    <t>73021040</t>
  </si>
  <si>
    <t>73021050</t>
  </si>
  <si>
    <t>73024000</t>
  </si>
  <si>
    <t>7306304100</t>
  </si>
  <si>
    <t>7306304900</t>
  </si>
  <si>
    <t>7306307200</t>
  </si>
  <si>
    <t>7306307700</t>
  </si>
  <si>
    <t>73066110</t>
  </si>
  <si>
    <t>73066192</t>
  </si>
  <si>
    <t>73066199</t>
  </si>
  <si>
    <t>73051100</t>
  </si>
  <si>
    <t>73051200</t>
  </si>
  <si>
    <t>73051900</t>
  </si>
  <si>
    <t>73052000</t>
  </si>
  <si>
    <t>73053100</t>
  </si>
  <si>
    <t>73053900</t>
  </si>
  <si>
    <t>73059000</t>
  </si>
  <si>
    <t>73061110</t>
  </si>
  <si>
    <t>73061190</t>
  </si>
  <si>
    <t>73061910</t>
  </si>
  <si>
    <t>73061990</t>
  </si>
  <si>
    <t>73062100</t>
  </si>
  <si>
    <t>73062900</t>
  </si>
  <si>
    <t>73063011</t>
  </si>
  <si>
    <t>73063019</t>
  </si>
  <si>
    <t>73063080</t>
  </si>
  <si>
    <t>73064020</t>
  </si>
  <si>
    <t>73064080</t>
  </si>
  <si>
    <t>73065020</t>
  </si>
  <si>
    <t>73065080</t>
  </si>
  <si>
    <t>73066910</t>
  </si>
  <si>
    <t>73066990</t>
  </si>
  <si>
    <t>73069000</t>
  </si>
  <si>
    <t>72151000</t>
  </si>
  <si>
    <t>72155011</t>
  </si>
  <si>
    <t>72155019</t>
  </si>
  <si>
    <t>72155080</t>
  </si>
  <si>
    <t>72281090</t>
  </si>
  <si>
    <t>72282099</t>
  </si>
  <si>
    <t>72285020</t>
  </si>
  <si>
    <t>72285040</t>
  </si>
  <si>
    <t>72285061</t>
  </si>
  <si>
    <t>72285069</t>
  </si>
  <si>
    <t>72285080</t>
  </si>
  <si>
    <t>72171010</t>
  </si>
  <si>
    <t>72171031</t>
  </si>
  <si>
    <t>72171039</t>
  </si>
  <si>
    <t>72171050</t>
  </si>
  <si>
    <t>72171090</t>
  </si>
  <si>
    <t>72172010</t>
  </si>
  <si>
    <t>72172030</t>
  </si>
  <si>
    <t>72172050</t>
  </si>
  <si>
    <t>72172090</t>
  </si>
  <si>
    <t>72173041</t>
  </si>
  <si>
    <t>72173049</t>
  </si>
  <si>
    <t>72173050</t>
  </si>
  <si>
    <t>72173090</t>
  </si>
  <si>
    <t>72179020</t>
  </si>
  <si>
    <t>72179050</t>
  </si>
  <si>
    <t>72179090</t>
  </si>
  <si>
    <t>7210410020</t>
  </si>
  <si>
    <t>7210490020</t>
  </si>
  <si>
    <t>7210610020</t>
  </si>
  <si>
    <t>7210690020</t>
  </si>
  <si>
    <t>7212300020</t>
  </si>
  <si>
    <t>7212506120</t>
  </si>
  <si>
    <t>7212506920</t>
  </si>
  <si>
    <t>7225920020</t>
  </si>
  <si>
    <t>7225990011</t>
  </si>
  <si>
    <t>7225990022</t>
  </si>
  <si>
    <t>7225990040</t>
  </si>
  <si>
    <t>7225990091</t>
  </si>
  <si>
    <t>7225990092</t>
  </si>
  <si>
    <t>7226993010</t>
  </si>
  <si>
    <t>7226997011</t>
  </si>
  <si>
    <t>7226997091</t>
  </si>
  <si>
    <t>7226997094</t>
  </si>
  <si>
    <t>7210200010</t>
  </si>
  <si>
    <t>7210200090</t>
  </si>
  <si>
    <t>7210300010</t>
  </si>
  <si>
    <t>7210300090</t>
  </si>
  <si>
    <t>7210410080</t>
  </si>
  <si>
    <t>7210490080</t>
  </si>
  <si>
    <t>7210610080</t>
  </si>
  <si>
    <t>7210690080</t>
  </si>
  <si>
    <t>7210908010</t>
  </si>
  <si>
    <t>7210908091</t>
  </si>
  <si>
    <t>7210908099</t>
  </si>
  <si>
    <t>7212200011</t>
  </si>
  <si>
    <t>7212200019</t>
  </si>
  <si>
    <t>7212200090</t>
  </si>
  <si>
    <t>7212300080</t>
  </si>
  <si>
    <t>7212502011</t>
  </si>
  <si>
    <t>7212502019</t>
  </si>
  <si>
    <t>7212502090</t>
  </si>
  <si>
    <t>7212503011</t>
  </si>
  <si>
    <t>7212503090</t>
  </si>
  <si>
    <t>7212504011</t>
  </si>
  <si>
    <t>7212504019</t>
  </si>
  <si>
    <t>7212504090</t>
  </si>
  <si>
    <t>7212506180</t>
  </si>
  <si>
    <t>7212506980</t>
  </si>
  <si>
    <t>7212509011</t>
  </si>
  <si>
    <t>7212509013</t>
  </si>
  <si>
    <t>7212509019</t>
  </si>
  <si>
    <t>7225910010</t>
  </si>
  <si>
    <t>7225910090</t>
  </si>
  <si>
    <t>7225920080</t>
  </si>
  <si>
    <t>7225990025</t>
  </si>
  <si>
    <t>7225990095</t>
  </si>
  <si>
    <t>7226991000</t>
  </si>
  <si>
    <t>7226993090</t>
  </si>
  <si>
    <t>7226997019</t>
  </si>
  <si>
    <t>7226997096</t>
  </si>
  <si>
    <t>AE,BR,BY,CN,EG,ID,IN,MD,MK,MX,RU,TH,TR,UA,VN,ZA</t>
  </si>
  <si>
    <t>AE,BR,BY,EG,ID,IN,MD,MK,MX,RU,TH,UA,VN,ZA</t>
  </si>
  <si>
    <t>AE,BR,BY,EG,ID,MD,MK,MX,RU,TH,TR,UA,VN,ZA</t>
  </si>
  <si>
    <t>AE,BR,BY,EG,ID,IN,MD,MK,MX,RU,TH,TR,UA,VN,ZA</t>
  </si>
  <si>
    <t>AE,BR,BY,EG,ID,IN,MD,MK,MX,RU,TH,VN,ZA</t>
  </si>
  <si>
    <t>AE,BR,BY,CN,EG,ID,MD,MK,MX,RU,TH,TR,VN,ZA</t>
  </si>
  <si>
    <t>AE,BR,BY,CN,EG,ID,IN,MD,MK,MX,RU,TH,TR,VN,ZA</t>
  </si>
  <si>
    <t>AE,BY,CN,EG,ID,IN,MD,MK,MX,RU,TH,TR,UA,VN,ZA</t>
  </si>
  <si>
    <t>AE,BR,BY,CN,EG,ID,MD,MK,MX,RU,TH,UA,VN,ZA</t>
  </si>
  <si>
    <t>AE,BR,BY,CN,EG,ID,IN,MD,MK,MX,RU,TH,UA,VN,ZA</t>
  </si>
  <si>
    <t>BR,BY,EG,ID,MD,MK,MX,RU,TH,UA,VN,ZA</t>
  </si>
  <si>
    <t>AE,BR,BY,EG,ID,IN,MD,MK,MX,RU,UA,VN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</si>
</sst>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1" fillId="2" borderId="1" xfId="0" applyNumberFormat="1" applyFont="1" applyFill="1" applyBorder="1"/>
    <xf numFmtId="0" fontId="0" fillId="3" borderId="1" xfId="0" applyNumberFormat="1" applyFill="1" applyBorder="1"/>
    <xf numFmtId="1" fontId="0" fillId="3" borderId="1" xfId="0" applyNumberForma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49" fontId="0" fillId="5" borderId="1" xfId="0" applyNumberFormat="1" applyFill="1" applyBorder="1"/>
    <xf numFmtId="49" fontId="1" fillId="2" borderId="1" xfId="0" applyNumberFormat="1" applyFont="1" applyFill="1" applyBorder="1" applyAlignment="1">
      <alignment vertical="top"/>
    </xf>
    <xf numFmtId="0" fontId="1" fillId="2" borderId="1" xfId="0" applyNumberFormat="1" applyFont="1" applyFill="1" applyBorder="1" applyAlignment="1">
      <alignment horizontal="center" vertical="top"/>
    </xf>
    <xf numFmtId="49" fontId="1" fillId="2" borderId="1" xfId="0" applyNumberFormat="1" applyFont="1" applyFill="1" applyBorder="1" applyAlignment="1">
      <alignment horizontal="center" vertical="top"/>
    </xf>
    <xf numFmtId="164" fontId="1" fillId="2" borderId="1" xfId="0" applyNumberFormat="1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49" fontId="0" fillId="0" borderId="1" xfId="0" applyNumberFormat="1" applyBorder="1" applyAlignment="1">
      <alignment vertical="top"/>
    </xf>
    <xf numFmtId="0" fontId="0" fillId="0" borderId="1" xfId="0" applyNumberFormat="1" applyBorder="1" applyAlignment="1">
      <alignment horizontal="center" vertical="top"/>
    </xf>
    <xf numFmtId="49" fontId="0" fillId="0" borderId="1" xfId="0" applyNumberFormat="1" applyBorder="1" applyAlignment="1">
      <alignment horizontal="center" vertical="top"/>
    </xf>
    <xf numFmtId="164" fontId="0" fillId="0" borderId="1" xfId="0" applyNumberFormat="1" applyBorder="1" applyAlignment="1">
      <alignment horizontal="left" vertical="top"/>
    </xf>
    <xf numFmtId="0" fontId="0" fillId="0" borderId="1" xfId="0" applyNumberFormat="1" applyBorder="1" applyAlignment="1">
      <alignment vertical="top" wrapText="1"/>
    </xf>
    <xf numFmtId="49" fontId="1" fillId="2" borderId="1" xfId="0" applyNumberFormat="1" applyFont="1" applyFill="1" applyBorder="1" applyAlignment="1">
      <alignment horizontal="center"/>
    </xf>
    <xf numFmtId="0" fontId="0" fillId="0" borderId="2" xfId="0" applyBorder="1"/>
    <xf numFmtId="49" fontId="0" fillId="6" borderId="1" xfId="0" applyNumberFormat="1" applyFill="1" applyBorder="1" applyAlignment="1">
      <alignment vertical="top"/>
    </xf>
    <xf numFmtId="0" fontId="0" fillId="0" borderId="2" xfId="0" applyNumberFormat="1" applyBorder="1" applyAlignment="1">
      <alignment vertical="top" wrapText="1"/>
    </xf>
    <xf numFmtId="49" fontId="0" fillId="4" borderId="1" xfId="0" applyNumberFormat="1" applyFill="1" applyBorder="1" applyAlignment="1">
      <alignment vertical="top"/>
    </xf>
    <xf numFmtId="0" fontId="0" fillId="4" borderId="1" xfId="0" applyFill="1" applyBorder="1"/>
    <xf numFmtId="49" fontId="0" fillId="7" borderId="1" xfId="0" applyNumberFormat="1" applyFill="1" applyBorder="1" applyAlignment="1">
      <alignment horizontal="center" vertical="top"/>
    </xf>
    <xf numFmtId="49" fontId="0" fillId="4" borderId="1" xfId="0" applyNumberFormat="1" applyFill="1" applyBorder="1" applyAlignment="1">
      <alignment horizontal="center" vertical="top"/>
    </xf>
  </cellXfs>
  <cellStyles count="1">
    <cellStyle name="Normal" xfId="0" builtinId="0"/>
  </cellStyles>
  <dxfs count="1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J97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19.42578125" style="28" bestFit="1" customWidth="1"/>
    <col min="2" max="2" width="12.140625" style="30" customWidth="1"/>
    <col min="3" max="3" width="14.42578125" style="28" customWidth="1"/>
    <col min="4" max="4" width="14.42578125" style="29" customWidth="1"/>
    <col min="5" max="5" width="44.28515625" style="28" customWidth="1"/>
    <col min="6" max="6" width="12.7109375" style="30" customWidth="1"/>
    <col min="7" max="7" width="19.7109375" style="28" customWidth="1"/>
    <col min="8" max="8" width="19.28515625" style="31" customWidth="1"/>
    <col min="9" max="9" width="156.85546875" style="32" customWidth="1"/>
    <col min="10" max="10" width="17.85546875" style="29" customWidth="1"/>
    <col min="11" max="16384" width="9.140625" style="27"/>
  </cols>
  <sheetData>
    <row r="1" spans="1:10" x14ac:dyDescent="0.25">
      <c r="A1" s="21" t="s">
        <v>0</v>
      </c>
      <c r="B1" s="23" t="s">
        <v>99</v>
      </c>
      <c r="C1" s="21" t="s">
        <v>87</v>
      </c>
      <c r="D1" s="22" t="s">
        <v>92</v>
      </c>
      <c r="E1" s="21" t="s">
        <v>79</v>
      </c>
      <c r="F1" s="23" t="s">
        <v>2</v>
      </c>
      <c r="G1" s="21" t="s">
        <v>3</v>
      </c>
      <c r="H1" s="24" t="s">
        <v>1</v>
      </c>
      <c r="I1" s="25" t="s">
        <v>78</v>
      </c>
      <c r="J1" s="26" t="s">
        <v>91</v>
      </c>
    </row>
    <row r="2" spans="1:10" x14ac:dyDescent="0.25">
      <c r="A2" s="28" t="s">
        <v>104</v>
      </c>
      <c r="C2" s="28" t="s">
        <v>159</v>
      </c>
      <c r="D2" s="29" t="str">
        <f>IF(LEFT(A2,3)="094","Licensed","FCFS")</f>
        <v>FCFS</v>
      </c>
      <c r="E2" s="28" t="s">
        <v>81</v>
      </c>
      <c r="F2" s="30" t="s">
        <v>160</v>
      </c>
      <c r="H2" s="31">
        <v>43568</v>
      </c>
      <c r="I2" s="34" t="s">
        <v>272</v>
      </c>
      <c r="J2" s="29" t="s">
        <v>93</v>
      </c>
    </row>
    <row r="3" spans="1:10" x14ac:dyDescent="0.25">
      <c r="A3" s="28" t="s">
        <v>107</v>
      </c>
      <c r="C3" s="28" t="s">
        <v>159</v>
      </c>
      <c r="D3" s="29" t="str">
        <f>IF(LEFT(A3,3)="094","Licensed","FCFS")</f>
        <v>FCFS</v>
      </c>
      <c r="E3" s="28" t="s">
        <v>81</v>
      </c>
      <c r="F3" s="30" t="s">
        <v>219</v>
      </c>
      <c r="G3" s="28" t="s">
        <v>578</v>
      </c>
      <c r="H3" s="31">
        <v>43568</v>
      </c>
      <c r="I3" s="34" t="s">
        <v>279</v>
      </c>
    </row>
    <row r="4" spans="1:10" x14ac:dyDescent="0.25">
      <c r="A4" s="28" t="s">
        <v>106</v>
      </c>
      <c r="C4" s="28" t="s">
        <v>159</v>
      </c>
      <c r="D4" s="29" t="str">
        <f>IF(LEFT(A4,3)="094","Licensed","FCFS")</f>
        <v>FCFS</v>
      </c>
      <c r="E4" s="28" t="s">
        <v>81</v>
      </c>
      <c r="F4" s="30" t="s">
        <v>219</v>
      </c>
      <c r="G4" s="28" t="s">
        <v>578</v>
      </c>
      <c r="H4" s="31">
        <v>43568</v>
      </c>
      <c r="I4" s="34" t="s">
        <v>278</v>
      </c>
    </row>
    <row r="5" spans="1:10" x14ac:dyDescent="0.25">
      <c r="A5" s="28" t="s">
        <v>105</v>
      </c>
      <c r="C5" s="28" t="s">
        <v>159</v>
      </c>
      <c r="D5" s="29" t="str">
        <f>IF(LEFT(A5,3)="094","Licensed","FCFS")</f>
        <v>FCFS</v>
      </c>
      <c r="E5" s="28" t="s">
        <v>81</v>
      </c>
      <c r="F5" s="30" t="s">
        <v>161</v>
      </c>
      <c r="H5" s="31">
        <v>43568</v>
      </c>
      <c r="I5" s="34" t="s">
        <v>273</v>
      </c>
      <c r="J5" s="29" t="s">
        <v>93</v>
      </c>
    </row>
    <row r="6" spans="1:10" x14ac:dyDescent="0.25">
      <c r="A6" s="28" t="s">
        <v>111</v>
      </c>
      <c r="C6" s="28" t="s">
        <v>159</v>
      </c>
      <c r="D6" s="29" t="str">
        <f>IF(LEFT(A6,3)="094","Licensed","FCFS")</f>
        <v>FCFS</v>
      </c>
      <c r="E6" s="28" t="s">
        <v>81</v>
      </c>
      <c r="F6" s="30" t="s">
        <v>160</v>
      </c>
      <c r="H6" s="31">
        <v>43568</v>
      </c>
      <c r="I6" s="34" t="s">
        <v>274</v>
      </c>
      <c r="J6" s="29" t="s">
        <v>93</v>
      </c>
    </row>
    <row r="7" spans="1:10" x14ac:dyDescent="0.25">
      <c r="A7" s="28" t="s">
        <v>110</v>
      </c>
      <c r="C7" s="28" t="s">
        <v>159</v>
      </c>
      <c r="D7" s="29" t="str">
        <f>IF(LEFT(A7,3)="094","Licensed","FCFS")</f>
        <v>FCFS</v>
      </c>
      <c r="E7" s="28" t="s">
        <v>81</v>
      </c>
      <c r="F7" s="30" t="s">
        <v>220</v>
      </c>
      <c r="H7" s="31">
        <v>43568</v>
      </c>
      <c r="I7" s="34" t="s">
        <v>281</v>
      </c>
    </row>
    <row r="8" spans="1:10" x14ac:dyDescent="0.25">
      <c r="A8" s="28" t="s">
        <v>171</v>
      </c>
      <c r="C8" s="28" t="s">
        <v>159</v>
      </c>
      <c r="D8" s="29" t="str">
        <f>IF(LEFT(A8,3)="094","Licensed","FCFS")</f>
        <v>FCFS</v>
      </c>
      <c r="E8" s="28" t="s">
        <v>81</v>
      </c>
      <c r="F8" s="30" t="s">
        <v>219</v>
      </c>
      <c r="G8" s="28" t="s">
        <v>579</v>
      </c>
      <c r="H8" s="31">
        <v>43568</v>
      </c>
      <c r="I8" s="34" t="s">
        <v>283</v>
      </c>
    </row>
    <row r="9" spans="1:10" x14ac:dyDescent="0.25">
      <c r="A9" s="28" t="s">
        <v>108</v>
      </c>
      <c r="C9" s="28" t="s">
        <v>159</v>
      </c>
      <c r="D9" s="29" t="str">
        <f>IF(LEFT(A9,3)="094","Licensed","FCFS")</f>
        <v>FCFS</v>
      </c>
      <c r="E9" s="28" t="s">
        <v>81</v>
      </c>
      <c r="F9" s="30" t="s">
        <v>219</v>
      </c>
      <c r="G9" s="28" t="s">
        <v>579</v>
      </c>
      <c r="H9" s="31">
        <v>43568</v>
      </c>
      <c r="I9" s="34" t="s">
        <v>282</v>
      </c>
    </row>
    <row r="10" spans="1:10" x14ac:dyDescent="0.25">
      <c r="A10" s="28" t="s">
        <v>109</v>
      </c>
      <c r="C10" s="28" t="s">
        <v>159</v>
      </c>
      <c r="D10" s="29" t="str">
        <f>IF(LEFT(A10,3)="094","Licensed","FCFS")</f>
        <v>FCFS</v>
      </c>
      <c r="E10" s="28" t="s">
        <v>81</v>
      </c>
      <c r="F10" s="30" t="s">
        <v>166</v>
      </c>
      <c r="H10" s="31">
        <v>43568</v>
      </c>
      <c r="I10" s="34" t="s">
        <v>280</v>
      </c>
    </row>
    <row r="11" spans="1:10" x14ac:dyDescent="0.25">
      <c r="A11" s="35" t="s">
        <v>243</v>
      </c>
      <c r="B11" s="39"/>
      <c r="C11" s="28" t="s">
        <v>159</v>
      </c>
      <c r="D11" s="29" t="str">
        <f>IF(LEFT(A11,3)="094","Licensed","FCFS")</f>
        <v>FCFS</v>
      </c>
      <c r="E11" s="28" t="s">
        <v>81</v>
      </c>
      <c r="F11" s="30" t="s">
        <v>219</v>
      </c>
      <c r="G11" s="28" t="s">
        <v>579</v>
      </c>
      <c r="H11" s="31">
        <v>43568</v>
      </c>
      <c r="I11" s="36" t="s">
        <v>293</v>
      </c>
    </row>
    <row r="12" spans="1:10" x14ac:dyDescent="0.25">
      <c r="A12" s="35" t="s">
        <v>242</v>
      </c>
      <c r="B12" s="39"/>
      <c r="C12" s="28" t="s">
        <v>159</v>
      </c>
      <c r="D12" s="29" t="str">
        <f>IF(LEFT(A12,3)="094","Licensed","FCFS")</f>
        <v>FCFS</v>
      </c>
      <c r="E12" s="28" t="s">
        <v>81</v>
      </c>
      <c r="F12" s="30" t="s">
        <v>219</v>
      </c>
      <c r="G12" s="28" t="s">
        <v>579</v>
      </c>
      <c r="H12" s="31">
        <v>43568</v>
      </c>
      <c r="I12" s="36" t="s">
        <v>294</v>
      </c>
    </row>
    <row r="13" spans="1:10" x14ac:dyDescent="0.25">
      <c r="A13" s="37" t="s">
        <v>157</v>
      </c>
      <c r="B13" s="39"/>
      <c r="C13" s="28" t="s">
        <v>159</v>
      </c>
      <c r="D13" s="29" t="str">
        <f>IF(LEFT(A13,3)="094","Licensed","FCFS")</f>
        <v>FCFS</v>
      </c>
      <c r="E13" s="28" t="s">
        <v>81</v>
      </c>
      <c r="F13" s="30" t="s">
        <v>160</v>
      </c>
      <c r="H13" s="31">
        <v>43568</v>
      </c>
      <c r="I13" s="36" t="s">
        <v>297</v>
      </c>
      <c r="J13" s="29" t="s">
        <v>93</v>
      </c>
    </row>
    <row r="14" spans="1:10" x14ac:dyDescent="0.25">
      <c r="A14" s="37" t="s">
        <v>158</v>
      </c>
      <c r="B14" s="39"/>
      <c r="C14" s="28" t="s">
        <v>159</v>
      </c>
      <c r="D14" s="29" t="str">
        <f>IF(LEFT(A14,3)="094","Licensed","FCFS")</f>
        <v>FCFS</v>
      </c>
      <c r="E14" s="28" t="s">
        <v>81</v>
      </c>
      <c r="F14" s="30" t="s">
        <v>168</v>
      </c>
      <c r="H14" s="31">
        <v>43568</v>
      </c>
      <c r="I14" s="36" t="s">
        <v>298</v>
      </c>
      <c r="J14" s="29" t="s">
        <v>93</v>
      </c>
    </row>
    <row r="15" spans="1:10" x14ac:dyDescent="0.25">
      <c r="A15" s="35" t="s">
        <v>244</v>
      </c>
      <c r="B15" s="39"/>
      <c r="C15" s="28" t="s">
        <v>159</v>
      </c>
      <c r="D15" s="29" t="str">
        <f>IF(LEFT(A15,3)="094","Licensed","FCFS")</f>
        <v>FCFS</v>
      </c>
      <c r="E15" s="28" t="s">
        <v>81</v>
      </c>
      <c r="F15" s="30" t="s">
        <v>166</v>
      </c>
      <c r="H15" s="31">
        <v>43568</v>
      </c>
      <c r="I15" s="36" t="s">
        <v>301</v>
      </c>
    </row>
    <row r="16" spans="1:10" x14ac:dyDescent="0.25">
      <c r="A16" s="35" t="s">
        <v>310</v>
      </c>
      <c r="B16" s="40"/>
      <c r="C16" s="28" t="s">
        <v>159</v>
      </c>
      <c r="D16" s="29" t="str">
        <f>IF(LEFT(A16,3)="094","Licensed","FCFS")</f>
        <v>FCFS</v>
      </c>
      <c r="E16" s="28" t="s">
        <v>81</v>
      </c>
      <c r="F16" s="30" t="s">
        <v>219</v>
      </c>
      <c r="G16" s="28" t="s">
        <v>579</v>
      </c>
      <c r="H16" s="31">
        <v>43568</v>
      </c>
      <c r="I16" s="36" t="s">
        <v>295</v>
      </c>
    </row>
    <row r="17" spans="1:10" x14ac:dyDescent="0.25">
      <c r="A17" s="35" t="s">
        <v>311</v>
      </c>
      <c r="B17" s="40"/>
      <c r="C17" s="28" t="s">
        <v>159</v>
      </c>
      <c r="D17" s="29" t="str">
        <f>IF(LEFT(A17,3)="094","Licensed","FCFS")</f>
        <v>FCFS</v>
      </c>
      <c r="E17" s="28" t="s">
        <v>81</v>
      </c>
      <c r="F17" s="30" t="s">
        <v>219</v>
      </c>
      <c r="G17" s="28" t="s">
        <v>579</v>
      </c>
      <c r="H17" s="31">
        <v>43568</v>
      </c>
      <c r="I17" s="36" t="s">
        <v>296</v>
      </c>
    </row>
    <row r="18" spans="1:10" x14ac:dyDescent="0.25">
      <c r="A18" s="37" t="s">
        <v>169</v>
      </c>
      <c r="B18" s="40"/>
      <c r="C18" s="28" t="s">
        <v>159</v>
      </c>
      <c r="D18" s="29" t="str">
        <f>IF(LEFT(A18,3)="094","Licensed","FCFS")</f>
        <v>FCFS</v>
      </c>
      <c r="E18" s="28" t="s">
        <v>81</v>
      </c>
      <c r="F18" s="30" t="s">
        <v>160</v>
      </c>
      <c r="H18" s="31">
        <v>43568</v>
      </c>
      <c r="I18" s="36" t="s">
        <v>299</v>
      </c>
      <c r="J18" s="29" t="s">
        <v>93</v>
      </c>
    </row>
    <row r="19" spans="1:10" x14ac:dyDescent="0.25">
      <c r="A19" s="37" t="s">
        <v>170</v>
      </c>
      <c r="B19" s="40"/>
      <c r="C19" s="28" t="s">
        <v>159</v>
      </c>
      <c r="D19" s="29" t="str">
        <f>IF(LEFT(A19,3)="094","Licensed","FCFS")</f>
        <v>FCFS</v>
      </c>
      <c r="E19" s="28" t="s">
        <v>81</v>
      </c>
      <c r="F19" s="30" t="s">
        <v>161</v>
      </c>
      <c r="H19" s="31">
        <v>43568</v>
      </c>
      <c r="I19" s="36" t="s">
        <v>300</v>
      </c>
      <c r="J19" s="29" t="s">
        <v>93</v>
      </c>
    </row>
    <row r="20" spans="1:10" x14ac:dyDescent="0.25">
      <c r="A20" s="35" t="s">
        <v>307</v>
      </c>
      <c r="B20" s="40"/>
      <c r="C20" s="28" t="s">
        <v>159</v>
      </c>
      <c r="D20" s="29" t="str">
        <f t="shared" ref="D20:D22" si="0">IF(LEFT(A20,3)="094","Licensed","FCFS")</f>
        <v>FCFS</v>
      </c>
      <c r="E20" s="28" t="s">
        <v>81</v>
      </c>
      <c r="F20" s="30" t="s">
        <v>238</v>
      </c>
      <c r="H20" s="31">
        <v>43568</v>
      </c>
      <c r="I20" s="36" t="s">
        <v>302</v>
      </c>
    </row>
    <row r="21" spans="1:10" x14ac:dyDescent="0.25">
      <c r="A21" s="35" t="s">
        <v>309</v>
      </c>
      <c r="B21" s="40"/>
      <c r="C21" s="28" t="s">
        <v>159</v>
      </c>
      <c r="D21" s="29" t="str">
        <f t="shared" si="0"/>
        <v>FCFS</v>
      </c>
      <c r="E21" s="28" t="s">
        <v>81</v>
      </c>
      <c r="F21" s="30" t="s">
        <v>220</v>
      </c>
      <c r="H21" s="31">
        <v>43568</v>
      </c>
      <c r="I21" s="36" t="s">
        <v>303</v>
      </c>
    </row>
    <row r="22" spans="1:10" x14ac:dyDescent="0.25">
      <c r="A22" s="35" t="s">
        <v>308</v>
      </c>
      <c r="B22" s="40"/>
      <c r="C22" s="28" t="s">
        <v>159</v>
      </c>
      <c r="D22" s="29" t="str">
        <f t="shared" si="0"/>
        <v>FCFS</v>
      </c>
      <c r="E22" s="28" t="s">
        <v>81</v>
      </c>
      <c r="F22" s="30" t="s">
        <v>166</v>
      </c>
      <c r="H22" s="31">
        <v>43568</v>
      </c>
      <c r="I22" s="36" t="s">
        <v>304</v>
      </c>
    </row>
    <row r="23" spans="1:10" x14ac:dyDescent="0.25">
      <c r="A23" s="35" t="s">
        <v>306</v>
      </c>
      <c r="B23" s="40"/>
      <c r="C23" s="28" t="s">
        <v>159</v>
      </c>
      <c r="D23" s="29" t="str">
        <f t="shared" ref="D23" si="1">IF(LEFT(A23,3)="094","Licensed","FCFS")</f>
        <v>FCFS</v>
      </c>
      <c r="E23" s="28" t="s">
        <v>81</v>
      </c>
      <c r="F23" s="30" t="s">
        <v>168</v>
      </c>
      <c r="H23" s="31">
        <v>43568</v>
      </c>
      <c r="I23" s="36" t="s">
        <v>305</v>
      </c>
    </row>
    <row r="24" spans="1:10" x14ac:dyDescent="0.25">
      <c r="A24" s="28" t="s">
        <v>112</v>
      </c>
      <c r="C24" s="28" t="s">
        <v>159</v>
      </c>
      <c r="D24" s="29" t="str">
        <f>IF(LEFT(A24,3)="094","Licensed","FCFS")</f>
        <v>FCFS</v>
      </c>
      <c r="E24" s="28" t="s">
        <v>81</v>
      </c>
      <c r="F24" s="30" t="s">
        <v>160</v>
      </c>
      <c r="H24" s="31">
        <v>43568</v>
      </c>
      <c r="I24" s="34" t="s">
        <v>275</v>
      </c>
      <c r="J24" s="29" t="s">
        <v>93</v>
      </c>
    </row>
    <row r="25" spans="1:10" x14ac:dyDescent="0.25">
      <c r="A25" s="28" t="s">
        <v>172</v>
      </c>
      <c r="C25" s="28" t="s">
        <v>159</v>
      </c>
      <c r="D25" s="29" t="str">
        <f>IF(LEFT(A25,3)="094","Licensed","FCFS")</f>
        <v>FCFS</v>
      </c>
      <c r="E25" s="28" t="s">
        <v>81</v>
      </c>
      <c r="F25" s="30" t="s">
        <v>166</v>
      </c>
      <c r="H25" s="31">
        <v>43568</v>
      </c>
      <c r="I25" s="34" t="s">
        <v>284</v>
      </c>
    </row>
    <row r="26" spans="1:10" x14ac:dyDescent="0.25">
      <c r="A26" s="28" t="s">
        <v>173</v>
      </c>
      <c r="C26" s="28" t="s">
        <v>159</v>
      </c>
      <c r="D26" s="29" t="str">
        <f>IF(LEFT(A26,3)="094","Licensed","FCFS")</f>
        <v>FCFS</v>
      </c>
      <c r="E26" s="28" t="s">
        <v>81</v>
      </c>
      <c r="F26" s="30" t="s">
        <v>219</v>
      </c>
      <c r="G26" s="28" t="s">
        <v>577</v>
      </c>
      <c r="H26" s="31">
        <v>43568</v>
      </c>
      <c r="I26" s="34" t="s">
        <v>285</v>
      </c>
    </row>
    <row r="27" spans="1:10" x14ac:dyDescent="0.25">
      <c r="A27" s="28" t="s">
        <v>174</v>
      </c>
      <c r="C27" s="28" t="s">
        <v>159</v>
      </c>
      <c r="D27" s="29" t="str">
        <f>IF(LEFT(A27,3)="094","Licensed","FCFS")</f>
        <v>FCFS</v>
      </c>
      <c r="E27" s="28" t="s">
        <v>81</v>
      </c>
      <c r="F27" s="30" t="s">
        <v>219</v>
      </c>
      <c r="G27" s="28" t="s">
        <v>577</v>
      </c>
      <c r="H27" s="31">
        <v>43568</v>
      </c>
      <c r="I27" s="34" t="s">
        <v>286</v>
      </c>
    </row>
    <row r="28" spans="1:10" x14ac:dyDescent="0.25">
      <c r="A28" s="28" t="s">
        <v>175</v>
      </c>
      <c r="C28" s="28" t="s">
        <v>159</v>
      </c>
      <c r="D28" s="29" t="str">
        <f>IF(LEFT(A28,3)="094","Licensed","FCFS")</f>
        <v>FCFS</v>
      </c>
      <c r="E28" s="28" t="s">
        <v>81</v>
      </c>
      <c r="F28" s="30" t="s">
        <v>238</v>
      </c>
      <c r="H28" s="31">
        <v>43568</v>
      </c>
      <c r="I28" s="34" t="s">
        <v>287</v>
      </c>
    </row>
    <row r="29" spans="1:10" x14ac:dyDescent="0.25">
      <c r="A29" s="28" t="s">
        <v>113</v>
      </c>
      <c r="C29" s="28" t="s">
        <v>159</v>
      </c>
      <c r="D29" s="29" t="str">
        <f>IF(LEFT(A29,3)="094","Licensed","FCFS")</f>
        <v>FCFS</v>
      </c>
      <c r="E29" s="28" t="s">
        <v>81</v>
      </c>
      <c r="F29" s="30" t="s">
        <v>160</v>
      </c>
      <c r="H29" s="31">
        <v>43568</v>
      </c>
      <c r="I29" s="34" t="s">
        <v>276</v>
      </c>
      <c r="J29" s="29" t="s">
        <v>93</v>
      </c>
    </row>
    <row r="30" spans="1:10" x14ac:dyDescent="0.25">
      <c r="A30" s="28" t="s">
        <v>176</v>
      </c>
      <c r="C30" s="28" t="s">
        <v>159</v>
      </c>
      <c r="D30" s="29" t="str">
        <f>IF(LEFT(A30,3)="094","Licensed","FCFS")</f>
        <v>FCFS</v>
      </c>
      <c r="E30" s="28" t="s">
        <v>81</v>
      </c>
      <c r="F30" s="30" t="s">
        <v>219</v>
      </c>
      <c r="G30" s="28" t="s">
        <v>580</v>
      </c>
      <c r="H30" s="31">
        <v>43568</v>
      </c>
      <c r="I30" s="34" t="s">
        <v>288</v>
      </c>
    </row>
    <row r="31" spans="1:10" x14ac:dyDescent="0.25">
      <c r="A31" s="28" t="s">
        <v>177</v>
      </c>
      <c r="C31" s="28" t="s">
        <v>159</v>
      </c>
      <c r="D31" s="29" t="str">
        <f>IF(LEFT(A31,3)="094","Licensed","FCFS")</f>
        <v>FCFS</v>
      </c>
      <c r="E31" s="28" t="s">
        <v>81</v>
      </c>
      <c r="F31" s="30" t="s">
        <v>219</v>
      </c>
      <c r="G31" s="28" t="s">
        <v>580</v>
      </c>
      <c r="H31" s="31">
        <v>43568</v>
      </c>
      <c r="I31" s="34" t="s">
        <v>289</v>
      </c>
    </row>
    <row r="32" spans="1:10" x14ac:dyDescent="0.25">
      <c r="A32" s="28" t="s">
        <v>114</v>
      </c>
      <c r="C32" s="28" t="s">
        <v>159</v>
      </c>
      <c r="D32" s="29" t="str">
        <f>IF(LEFT(A32,3)="094","Licensed","FCFS")</f>
        <v>FCFS</v>
      </c>
      <c r="E32" s="28" t="s">
        <v>81</v>
      </c>
      <c r="F32" s="30" t="s">
        <v>160</v>
      </c>
      <c r="H32" s="31">
        <v>43568</v>
      </c>
      <c r="I32" s="34" t="s">
        <v>277</v>
      </c>
      <c r="J32" s="29" t="s">
        <v>93</v>
      </c>
    </row>
    <row r="33" spans="1:10" x14ac:dyDescent="0.25">
      <c r="A33" s="28" t="s">
        <v>179</v>
      </c>
      <c r="C33" s="28" t="s">
        <v>159</v>
      </c>
      <c r="D33" s="29" t="str">
        <f>IF(LEFT(A33,3)="094","Licensed","FCFS")</f>
        <v>FCFS</v>
      </c>
      <c r="E33" s="28" t="s">
        <v>81</v>
      </c>
      <c r="F33" s="30" t="s">
        <v>219</v>
      </c>
      <c r="G33" s="28" t="s">
        <v>581</v>
      </c>
      <c r="H33" s="31">
        <v>43568</v>
      </c>
      <c r="I33" s="34" t="s">
        <v>291</v>
      </c>
    </row>
    <row r="34" spans="1:10" x14ac:dyDescent="0.25">
      <c r="A34" s="28" t="s">
        <v>180</v>
      </c>
      <c r="C34" s="28" t="s">
        <v>159</v>
      </c>
      <c r="D34" s="29" t="str">
        <f>IF(LEFT(A34,3)="094","Licensed","FCFS")</f>
        <v>FCFS</v>
      </c>
      <c r="E34" s="28" t="s">
        <v>81</v>
      </c>
      <c r="F34" s="30" t="s">
        <v>219</v>
      </c>
      <c r="G34" s="28" t="s">
        <v>581</v>
      </c>
      <c r="H34" s="31">
        <v>43568</v>
      </c>
      <c r="I34" s="5" t="s">
        <v>292</v>
      </c>
    </row>
    <row r="35" spans="1:10" x14ac:dyDescent="0.25">
      <c r="A35" s="28" t="s">
        <v>178</v>
      </c>
      <c r="C35" s="28" t="s">
        <v>159</v>
      </c>
      <c r="D35" s="29" t="str">
        <f>IF(LEFT(A35,3)="094","Licensed","FCFS")</f>
        <v>FCFS</v>
      </c>
      <c r="E35" s="28" t="s">
        <v>81</v>
      </c>
      <c r="F35" s="30" t="s">
        <v>239</v>
      </c>
      <c r="H35" s="31">
        <v>43568</v>
      </c>
      <c r="I35" s="5" t="s">
        <v>290</v>
      </c>
    </row>
    <row r="36" spans="1:10" x14ac:dyDescent="0.25">
      <c r="A36" s="28" t="s">
        <v>115</v>
      </c>
      <c r="C36" s="28" t="s">
        <v>159</v>
      </c>
      <c r="D36" s="29" t="str">
        <f>IF(LEFT(A36,3)="094","Licensed","FCFS")</f>
        <v>FCFS</v>
      </c>
      <c r="E36" s="28" t="s">
        <v>81</v>
      </c>
      <c r="F36" s="30" t="s">
        <v>160</v>
      </c>
      <c r="H36" s="31">
        <v>43568</v>
      </c>
      <c r="I36" s="5" t="s">
        <v>136</v>
      </c>
      <c r="J36" s="29" t="s">
        <v>93</v>
      </c>
    </row>
    <row r="37" spans="1:10" x14ac:dyDescent="0.25">
      <c r="A37" s="28" t="s">
        <v>182</v>
      </c>
      <c r="C37" s="28" t="s">
        <v>159</v>
      </c>
      <c r="D37" s="29" t="str">
        <f>IF(LEFT(A37,3)="094","Licensed","FCFS")</f>
        <v>FCFS</v>
      </c>
      <c r="E37" s="28" t="s">
        <v>81</v>
      </c>
      <c r="F37" s="30" t="s">
        <v>219</v>
      </c>
      <c r="G37" s="28" t="s">
        <v>578</v>
      </c>
      <c r="H37" s="31">
        <v>43568</v>
      </c>
      <c r="I37" s="5" t="s">
        <v>245</v>
      </c>
    </row>
    <row r="38" spans="1:10" x14ac:dyDescent="0.25">
      <c r="A38" s="28" t="s">
        <v>183</v>
      </c>
      <c r="C38" s="28" t="s">
        <v>159</v>
      </c>
      <c r="D38" s="29" t="str">
        <f>IF(LEFT(A38,3)="094","Licensed","FCFS")</f>
        <v>FCFS</v>
      </c>
      <c r="E38" s="28" t="s">
        <v>81</v>
      </c>
      <c r="F38" s="30" t="s">
        <v>219</v>
      </c>
      <c r="G38" s="28" t="s">
        <v>578</v>
      </c>
      <c r="H38" s="31">
        <v>43568</v>
      </c>
      <c r="I38" s="34" t="s">
        <v>246</v>
      </c>
    </row>
    <row r="39" spans="1:10" x14ac:dyDescent="0.25">
      <c r="A39" s="28" t="s">
        <v>181</v>
      </c>
      <c r="C39" s="28" t="s">
        <v>159</v>
      </c>
      <c r="D39" s="29" t="str">
        <f>IF(LEFT(A39,3)="094","Licensed","FCFS")</f>
        <v>FCFS</v>
      </c>
      <c r="E39" s="28" t="s">
        <v>81</v>
      </c>
      <c r="F39" s="30" t="s">
        <v>161</v>
      </c>
      <c r="H39" s="31">
        <v>43568</v>
      </c>
      <c r="I39" s="34" t="s">
        <v>221</v>
      </c>
    </row>
    <row r="40" spans="1:10" x14ac:dyDescent="0.25">
      <c r="A40" s="28" t="s">
        <v>117</v>
      </c>
      <c r="C40" s="28" t="s">
        <v>159</v>
      </c>
      <c r="D40" s="29" t="str">
        <f>IF(LEFT(A40,3)="094","Licensed","FCFS")</f>
        <v>FCFS</v>
      </c>
      <c r="E40" s="28" t="s">
        <v>81</v>
      </c>
      <c r="F40" s="30" t="s">
        <v>167</v>
      </c>
      <c r="H40" s="31">
        <v>43568</v>
      </c>
      <c r="I40" s="34" t="s">
        <v>138</v>
      </c>
      <c r="J40" s="29" t="s">
        <v>93</v>
      </c>
    </row>
    <row r="41" spans="1:10" x14ac:dyDescent="0.25">
      <c r="A41" s="28" t="s">
        <v>116</v>
      </c>
      <c r="C41" s="28" t="s">
        <v>159</v>
      </c>
      <c r="D41" s="29" t="str">
        <f>IF(LEFT(A41,3)="094","Licensed","FCFS")</f>
        <v>FCFS</v>
      </c>
      <c r="E41" s="28" t="s">
        <v>81</v>
      </c>
      <c r="F41" s="30" t="s">
        <v>160</v>
      </c>
      <c r="H41" s="31">
        <v>43568</v>
      </c>
      <c r="I41" s="34" t="s">
        <v>137</v>
      </c>
      <c r="J41" s="29" t="s">
        <v>93</v>
      </c>
    </row>
    <row r="42" spans="1:10" x14ac:dyDescent="0.25">
      <c r="A42" s="28" t="s">
        <v>186</v>
      </c>
      <c r="C42" s="28" t="s">
        <v>159</v>
      </c>
      <c r="D42" s="29" t="str">
        <f>IF(LEFT(A42,3)="094","Licensed","FCFS")</f>
        <v>FCFS</v>
      </c>
      <c r="E42" s="28" t="s">
        <v>81</v>
      </c>
      <c r="F42" s="30" t="s">
        <v>219</v>
      </c>
      <c r="G42" s="28" t="s">
        <v>581</v>
      </c>
      <c r="H42" s="31">
        <v>43568</v>
      </c>
      <c r="I42" s="34" t="s">
        <v>247</v>
      </c>
    </row>
    <row r="43" spans="1:10" x14ac:dyDescent="0.25">
      <c r="A43" s="28" t="s">
        <v>187</v>
      </c>
      <c r="C43" s="28" t="s">
        <v>159</v>
      </c>
      <c r="D43" s="29" t="str">
        <f>IF(LEFT(A43,3)="094","Licensed","FCFS")</f>
        <v>FCFS</v>
      </c>
      <c r="E43" s="28" t="s">
        <v>81</v>
      </c>
      <c r="F43" s="30" t="s">
        <v>219</v>
      </c>
      <c r="G43" s="28" t="s">
        <v>581</v>
      </c>
      <c r="H43" s="31">
        <v>43568</v>
      </c>
      <c r="I43" s="34" t="s">
        <v>248</v>
      </c>
    </row>
    <row r="44" spans="1:10" x14ac:dyDescent="0.25">
      <c r="A44" s="28" t="s">
        <v>184</v>
      </c>
      <c r="C44" s="28" t="s">
        <v>159</v>
      </c>
      <c r="D44" s="29" t="str">
        <f>IF(LEFT(A44,3)="094","Licensed","FCFS")</f>
        <v>FCFS</v>
      </c>
      <c r="E44" s="28" t="s">
        <v>81</v>
      </c>
      <c r="F44" s="30" t="s">
        <v>161</v>
      </c>
      <c r="H44" s="31">
        <v>43568</v>
      </c>
      <c r="I44" s="34" t="s">
        <v>222</v>
      </c>
    </row>
    <row r="45" spans="1:10" x14ac:dyDescent="0.25">
      <c r="A45" s="28" t="s">
        <v>185</v>
      </c>
      <c r="C45" s="28" t="s">
        <v>159</v>
      </c>
      <c r="D45" s="29" t="str">
        <f>IF(LEFT(A45,3)="094","Licensed","FCFS")</f>
        <v>FCFS</v>
      </c>
      <c r="E45" s="28" t="s">
        <v>81</v>
      </c>
      <c r="F45" s="30" t="s">
        <v>239</v>
      </c>
      <c r="H45" s="31">
        <v>43568</v>
      </c>
      <c r="I45" s="34" t="s">
        <v>223</v>
      </c>
    </row>
    <row r="46" spans="1:10" x14ac:dyDescent="0.25">
      <c r="A46" s="28" t="s">
        <v>118</v>
      </c>
      <c r="C46" s="28" t="s">
        <v>159</v>
      </c>
      <c r="D46" s="29" t="str">
        <f>IF(LEFT(A46,3)="094","Licensed","FCFS")</f>
        <v>FCFS</v>
      </c>
      <c r="E46" s="28" t="s">
        <v>81</v>
      </c>
      <c r="F46" s="30" t="s">
        <v>160</v>
      </c>
      <c r="H46" s="31">
        <v>43568</v>
      </c>
      <c r="I46" s="34" t="s">
        <v>139</v>
      </c>
      <c r="J46" s="29" t="s">
        <v>93</v>
      </c>
    </row>
    <row r="47" spans="1:10" x14ac:dyDescent="0.25">
      <c r="A47" s="28" t="s">
        <v>188</v>
      </c>
      <c r="C47" s="28" t="s">
        <v>159</v>
      </c>
      <c r="D47" s="29" t="str">
        <f>IF(LEFT(A47,3)="094","Licensed","FCFS")</f>
        <v>FCFS</v>
      </c>
      <c r="E47" s="28" t="s">
        <v>81</v>
      </c>
      <c r="F47" s="30" t="s">
        <v>219</v>
      </c>
      <c r="G47" s="28" t="s">
        <v>582</v>
      </c>
      <c r="H47" s="31">
        <v>43568</v>
      </c>
      <c r="I47" s="34" t="s">
        <v>249</v>
      </c>
    </row>
    <row r="48" spans="1:10" x14ac:dyDescent="0.25">
      <c r="A48" s="28" t="s">
        <v>224</v>
      </c>
      <c r="C48" s="28" t="s">
        <v>159</v>
      </c>
      <c r="D48" s="29" t="str">
        <f>IF(LEFT(A48,3)="094","Licensed","FCFS")</f>
        <v>FCFS</v>
      </c>
      <c r="E48" s="28" t="s">
        <v>81</v>
      </c>
      <c r="F48" s="30" t="s">
        <v>219</v>
      </c>
      <c r="G48" s="28" t="s">
        <v>582</v>
      </c>
      <c r="H48" s="31">
        <v>43568</v>
      </c>
      <c r="I48" s="34" t="s">
        <v>250</v>
      </c>
    </row>
    <row r="49" spans="1:10" x14ac:dyDescent="0.25">
      <c r="A49" s="28" t="s">
        <v>119</v>
      </c>
      <c r="C49" s="28" t="s">
        <v>159</v>
      </c>
      <c r="D49" s="29" t="str">
        <f>IF(LEFT(A49,3)="094","Licensed","FCFS")</f>
        <v>FCFS</v>
      </c>
      <c r="E49" s="28" t="s">
        <v>81</v>
      </c>
      <c r="F49" s="30" t="s">
        <v>160</v>
      </c>
      <c r="H49" s="31">
        <v>43568</v>
      </c>
      <c r="I49" s="34" t="s">
        <v>140</v>
      </c>
      <c r="J49" s="29" t="s">
        <v>93</v>
      </c>
    </row>
    <row r="50" spans="1:10" x14ac:dyDescent="0.25">
      <c r="A50" s="28" t="s">
        <v>191</v>
      </c>
      <c r="C50" s="28" t="s">
        <v>159</v>
      </c>
      <c r="D50" s="29" t="str">
        <f>IF(LEFT(A50,3)="094","Licensed","FCFS")</f>
        <v>FCFS</v>
      </c>
      <c r="E50" s="28" t="s">
        <v>81</v>
      </c>
      <c r="F50" s="30" t="s">
        <v>166</v>
      </c>
      <c r="H50" s="31">
        <v>43568</v>
      </c>
      <c r="I50" s="34" t="s">
        <v>226</v>
      </c>
    </row>
    <row r="51" spans="1:10" x14ac:dyDescent="0.25">
      <c r="A51" s="28" t="s">
        <v>192</v>
      </c>
      <c r="C51" s="28" t="s">
        <v>159</v>
      </c>
      <c r="D51" s="29" t="str">
        <f>IF(LEFT(A51,3)="094","Licensed","FCFS")</f>
        <v>FCFS</v>
      </c>
      <c r="E51" s="28" t="s">
        <v>81</v>
      </c>
      <c r="F51" s="30" t="s">
        <v>219</v>
      </c>
      <c r="G51" s="28" t="s">
        <v>577</v>
      </c>
      <c r="H51" s="31">
        <v>43568</v>
      </c>
      <c r="I51" s="34" t="s">
        <v>251</v>
      </c>
    </row>
    <row r="52" spans="1:10" x14ac:dyDescent="0.25">
      <c r="A52" s="28" t="s">
        <v>193</v>
      </c>
      <c r="C52" s="28" t="s">
        <v>159</v>
      </c>
      <c r="D52" s="29" t="str">
        <f>IF(LEFT(A52,3)="094","Licensed","FCFS")</f>
        <v>FCFS</v>
      </c>
      <c r="E52" s="28" t="s">
        <v>81</v>
      </c>
      <c r="F52" s="30" t="s">
        <v>219</v>
      </c>
      <c r="G52" s="28" t="s">
        <v>577</v>
      </c>
      <c r="H52" s="31">
        <v>43568</v>
      </c>
      <c r="I52" s="34" t="s">
        <v>252</v>
      </c>
    </row>
    <row r="53" spans="1:10" x14ac:dyDescent="0.25">
      <c r="A53" s="28" t="s">
        <v>190</v>
      </c>
      <c r="C53" s="28" t="s">
        <v>159</v>
      </c>
      <c r="D53" s="29" t="str">
        <f>IF(LEFT(A53,3)="094","Licensed","FCFS")</f>
        <v>FCFS</v>
      </c>
      <c r="E53" s="28" t="s">
        <v>81</v>
      </c>
      <c r="F53" s="30" t="s">
        <v>168</v>
      </c>
      <c r="H53" s="31">
        <v>43568</v>
      </c>
      <c r="I53" s="34" t="s">
        <v>225</v>
      </c>
    </row>
    <row r="54" spans="1:10" x14ac:dyDescent="0.25">
      <c r="A54" s="28" t="s">
        <v>120</v>
      </c>
      <c r="C54" s="28" t="s">
        <v>159</v>
      </c>
      <c r="D54" s="29" t="str">
        <f>IF(LEFT(A54,3)="094","Licensed","FCFS")</f>
        <v>FCFS</v>
      </c>
      <c r="E54" s="28" t="s">
        <v>81</v>
      </c>
      <c r="F54" s="30" t="s">
        <v>162</v>
      </c>
      <c r="H54" s="31">
        <v>43568</v>
      </c>
      <c r="I54" s="34" t="s">
        <v>141</v>
      </c>
      <c r="J54" s="29" t="s">
        <v>93</v>
      </c>
    </row>
    <row r="55" spans="1:10" x14ac:dyDescent="0.25">
      <c r="A55" s="28" t="s">
        <v>121</v>
      </c>
      <c r="C55" s="28" t="s">
        <v>159</v>
      </c>
      <c r="D55" s="29" t="str">
        <f>IF(LEFT(A55,3)="094","Licensed","FCFS")</f>
        <v>FCFS</v>
      </c>
      <c r="E55" s="28" t="s">
        <v>81</v>
      </c>
      <c r="F55" s="30" t="s">
        <v>160</v>
      </c>
      <c r="H55" s="31">
        <v>43568</v>
      </c>
      <c r="I55" s="34" t="s">
        <v>142</v>
      </c>
      <c r="J55" s="29" t="s">
        <v>93</v>
      </c>
    </row>
    <row r="56" spans="1:10" x14ac:dyDescent="0.25">
      <c r="A56" s="28" t="s">
        <v>194</v>
      </c>
      <c r="C56" s="28" t="s">
        <v>159</v>
      </c>
      <c r="D56" s="29" t="str">
        <f>IF(LEFT(A56,3)="094","Licensed","FCFS")</f>
        <v>FCFS</v>
      </c>
      <c r="E56" s="28" t="s">
        <v>81</v>
      </c>
      <c r="F56" s="30" t="s">
        <v>219</v>
      </c>
      <c r="G56" s="28" t="s">
        <v>583</v>
      </c>
      <c r="H56" s="31">
        <v>43568</v>
      </c>
      <c r="I56" s="34" t="s">
        <v>253</v>
      </c>
    </row>
    <row r="57" spans="1:10" x14ac:dyDescent="0.25">
      <c r="A57" s="28" t="s">
        <v>195</v>
      </c>
      <c r="C57" s="28" t="s">
        <v>159</v>
      </c>
      <c r="D57" s="29" t="str">
        <f>IF(LEFT(A57,3)="094","Licensed","FCFS")</f>
        <v>FCFS</v>
      </c>
      <c r="E57" s="28" t="s">
        <v>81</v>
      </c>
      <c r="F57" s="30" t="s">
        <v>219</v>
      </c>
      <c r="G57" s="28" t="s">
        <v>583</v>
      </c>
      <c r="H57" s="31">
        <v>43568</v>
      </c>
      <c r="I57" s="34" t="s">
        <v>254</v>
      </c>
    </row>
    <row r="58" spans="1:10" x14ac:dyDescent="0.25">
      <c r="A58" s="28" t="s">
        <v>122</v>
      </c>
      <c r="C58" s="28" t="s">
        <v>159</v>
      </c>
      <c r="D58" s="29" t="str">
        <f>IF(LEFT(A58,3)="094","Licensed","FCFS")</f>
        <v>FCFS</v>
      </c>
      <c r="E58" s="28" t="s">
        <v>81</v>
      </c>
      <c r="F58" s="30" t="s">
        <v>160</v>
      </c>
      <c r="H58" s="31">
        <v>43568</v>
      </c>
      <c r="I58" s="34" t="s">
        <v>143</v>
      </c>
      <c r="J58" s="29" t="s">
        <v>93</v>
      </c>
    </row>
    <row r="59" spans="1:10" x14ac:dyDescent="0.25">
      <c r="A59" s="28" t="s">
        <v>196</v>
      </c>
      <c r="C59" s="28" t="s">
        <v>159</v>
      </c>
      <c r="D59" s="29" t="str">
        <f>IF(LEFT(A59,3)="094","Licensed","FCFS")</f>
        <v>FCFS</v>
      </c>
      <c r="E59" s="28" t="s">
        <v>81</v>
      </c>
      <c r="F59" s="30" t="s">
        <v>219</v>
      </c>
      <c r="G59" s="28" t="s">
        <v>584</v>
      </c>
      <c r="H59" s="31">
        <v>43568</v>
      </c>
      <c r="I59" s="34" t="s">
        <v>255</v>
      </c>
    </row>
    <row r="60" spans="1:10" x14ac:dyDescent="0.25">
      <c r="A60" s="28" t="s">
        <v>197</v>
      </c>
      <c r="C60" s="28" t="s">
        <v>159</v>
      </c>
      <c r="D60" s="29" t="str">
        <f>IF(LEFT(A60,3)="094","Licensed","FCFS")</f>
        <v>FCFS</v>
      </c>
      <c r="E60" s="28" t="s">
        <v>81</v>
      </c>
      <c r="F60" s="30" t="s">
        <v>219</v>
      </c>
      <c r="G60" s="28" t="s">
        <v>584</v>
      </c>
      <c r="H60" s="31">
        <v>43568</v>
      </c>
      <c r="I60" s="34" t="s">
        <v>256</v>
      </c>
    </row>
    <row r="61" spans="1:10" x14ac:dyDescent="0.25">
      <c r="A61" s="28" t="s">
        <v>198</v>
      </c>
      <c r="C61" s="28" t="s">
        <v>159</v>
      </c>
      <c r="D61" s="29" t="str">
        <f>IF(LEFT(A61,3)="094","Licensed","FCFS")</f>
        <v>FCFS</v>
      </c>
      <c r="E61" s="28" t="s">
        <v>81</v>
      </c>
      <c r="F61" s="30" t="s">
        <v>238</v>
      </c>
      <c r="H61" s="31">
        <v>43568</v>
      </c>
      <c r="I61" s="34" t="s">
        <v>227</v>
      </c>
    </row>
    <row r="62" spans="1:10" x14ac:dyDescent="0.25">
      <c r="A62" s="28" t="s">
        <v>123</v>
      </c>
      <c r="C62" s="28" t="s">
        <v>159</v>
      </c>
      <c r="D62" s="29" t="str">
        <f>IF(LEFT(A62,3)="094","Licensed","FCFS")</f>
        <v>FCFS</v>
      </c>
      <c r="E62" s="28" t="s">
        <v>81</v>
      </c>
      <c r="F62" s="30" t="s">
        <v>160</v>
      </c>
      <c r="H62" s="31">
        <v>43568</v>
      </c>
      <c r="I62" s="34" t="s">
        <v>144</v>
      </c>
      <c r="J62" s="29" t="s">
        <v>93</v>
      </c>
    </row>
    <row r="63" spans="1:10" x14ac:dyDescent="0.25">
      <c r="A63" s="28" t="s">
        <v>199</v>
      </c>
      <c r="C63" s="28" t="s">
        <v>159</v>
      </c>
      <c r="D63" s="29" t="str">
        <f>IF(LEFT(A63,3)="094","Licensed","FCFS")</f>
        <v>FCFS</v>
      </c>
      <c r="E63" s="28" t="s">
        <v>81</v>
      </c>
      <c r="F63" s="30" t="s">
        <v>219</v>
      </c>
      <c r="G63" s="28" t="s">
        <v>580</v>
      </c>
      <c r="H63" s="31">
        <v>43568</v>
      </c>
      <c r="I63" s="34" t="s">
        <v>257</v>
      </c>
    </row>
    <row r="64" spans="1:10" x14ac:dyDescent="0.25">
      <c r="A64" s="28" t="s">
        <v>189</v>
      </c>
      <c r="C64" s="28" t="s">
        <v>159</v>
      </c>
      <c r="D64" s="29" t="str">
        <f>IF(LEFT(A64,3)="094","Licensed","FCFS")</f>
        <v>FCFS</v>
      </c>
      <c r="E64" s="28" t="s">
        <v>81</v>
      </c>
      <c r="F64" s="30" t="s">
        <v>219</v>
      </c>
      <c r="G64" s="28" t="s">
        <v>580</v>
      </c>
      <c r="H64" s="31">
        <v>43568</v>
      </c>
      <c r="I64" s="34" t="s">
        <v>258</v>
      </c>
    </row>
    <row r="65" spans="1:10" x14ac:dyDescent="0.25">
      <c r="A65" s="28" t="s">
        <v>124</v>
      </c>
      <c r="C65" s="28" t="s">
        <v>159</v>
      </c>
      <c r="D65" s="29" t="str">
        <f>IF(LEFT(A65,3)="094","Licensed","FCFS")</f>
        <v>FCFS</v>
      </c>
      <c r="E65" s="28" t="s">
        <v>81</v>
      </c>
      <c r="F65" s="30" t="s">
        <v>160</v>
      </c>
      <c r="H65" s="31">
        <v>43568</v>
      </c>
      <c r="I65" s="34" t="s">
        <v>145</v>
      </c>
      <c r="J65" s="29" t="s">
        <v>93</v>
      </c>
    </row>
    <row r="66" spans="1:10" x14ac:dyDescent="0.25">
      <c r="A66" s="28" t="s">
        <v>229</v>
      </c>
      <c r="C66" s="28" t="s">
        <v>159</v>
      </c>
      <c r="D66" s="29" t="str">
        <f>IF(LEFT(A66,3)="094","Licensed","FCFS")</f>
        <v>FCFS</v>
      </c>
      <c r="E66" s="28" t="s">
        <v>81</v>
      </c>
      <c r="F66" s="30" t="s">
        <v>220</v>
      </c>
      <c r="H66" s="31">
        <v>43568</v>
      </c>
      <c r="I66" s="34" t="s">
        <v>230</v>
      </c>
    </row>
    <row r="67" spans="1:10" x14ac:dyDescent="0.25">
      <c r="A67" s="28" t="s">
        <v>201</v>
      </c>
      <c r="C67" s="28" t="s">
        <v>159</v>
      </c>
      <c r="D67" s="29" t="str">
        <f>IF(LEFT(A67,3)="094","Licensed","FCFS")</f>
        <v>FCFS</v>
      </c>
      <c r="E67" s="28" t="s">
        <v>81</v>
      </c>
      <c r="F67" s="30" t="s">
        <v>219</v>
      </c>
      <c r="G67" s="28" t="s">
        <v>585</v>
      </c>
      <c r="H67" s="31">
        <v>43568</v>
      </c>
      <c r="I67" s="34" t="s">
        <v>259</v>
      </c>
    </row>
    <row r="68" spans="1:10" x14ac:dyDescent="0.25">
      <c r="A68" s="28" t="s">
        <v>202</v>
      </c>
      <c r="C68" s="28" t="s">
        <v>159</v>
      </c>
      <c r="D68" s="29" t="str">
        <f>IF(LEFT(A68,3)="094","Licensed","FCFS")</f>
        <v>FCFS</v>
      </c>
      <c r="E68" s="28" t="s">
        <v>81</v>
      </c>
      <c r="F68" s="30" t="s">
        <v>219</v>
      </c>
      <c r="G68" s="28" t="s">
        <v>585</v>
      </c>
      <c r="H68" s="31">
        <v>43568</v>
      </c>
      <c r="I68" s="34" t="s">
        <v>260</v>
      </c>
    </row>
    <row r="69" spans="1:10" x14ac:dyDescent="0.25">
      <c r="A69" s="28" t="s">
        <v>200</v>
      </c>
      <c r="C69" s="28" t="s">
        <v>159</v>
      </c>
      <c r="D69" s="29" t="str">
        <f>IF(LEFT(A69,3)="094","Licensed","FCFS")</f>
        <v>FCFS</v>
      </c>
      <c r="E69" s="28" t="s">
        <v>81</v>
      </c>
      <c r="F69" s="30" t="s">
        <v>161</v>
      </c>
      <c r="H69" s="31">
        <v>43568</v>
      </c>
      <c r="I69" s="34" t="s">
        <v>228</v>
      </c>
    </row>
    <row r="70" spans="1:10" x14ac:dyDescent="0.25">
      <c r="A70" s="28" t="s">
        <v>125</v>
      </c>
      <c r="C70" s="28" t="s">
        <v>159</v>
      </c>
      <c r="D70" s="29" t="str">
        <f>IF(LEFT(A70,3)="094","Licensed","FCFS")</f>
        <v>FCFS</v>
      </c>
      <c r="E70" s="28" t="s">
        <v>81</v>
      </c>
      <c r="F70" s="30" t="s">
        <v>160</v>
      </c>
      <c r="H70" s="31">
        <v>43568</v>
      </c>
      <c r="I70" s="34" t="s">
        <v>146</v>
      </c>
      <c r="J70" s="29" t="s">
        <v>93</v>
      </c>
    </row>
    <row r="71" spans="1:10" x14ac:dyDescent="0.25">
      <c r="A71" s="28" t="s">
        <v>204</v>
      </c>
      <c r="C71" s="28" t="s">
        <v>159</v>
      </c>
      <c r="D71" s="29" t="str">
        <f>IF(LEFT(A71,3)="094","Licensed","FCFS")</f>
        <v>FCFS</v>
      </c>
      <c r="E71" s="28" t="s">
        <v>81</v>
      </c>
      <c r="F71" s="30" t="s">
        <v>219</v>
      </c>
      <c r="G71" s="28" t="s">
        <v>586</v>
      </c>
      <c r="H71" s="31">
        <v>43568</v>
      </c>
      <c r="I71" s="34" t="s">
        <v>262</v>
      </c>
    </row>
    <row r="72" spans="1:10" x14ac:dyDescent="0.25">
      <c r="A72" s="28" t="s">
        <v>261</v>
      </c>
      <c r="C72" s="28" t="s">
        <v>159</v>
      </c>
      <c r="D72" s="29" t="str">
        <f>IF(LEFT(A72,3)="094","Licensed","FCFS")</f>
        <v>FCFS</v>
      </c>
      <c r="E72" s="28" t="s">
        <v>81</v>
      </c>
      <c r="F72" s="30" t="s">
        <v>219</v>
      </c>
      <c r="G72" s="28" t="s">
        <v>586</v>
      </c>
      <c r="H72" s="31">
        <v>43568</v>
      </c>
      <c r="I72" s="34" t="s">
        <v>263</v>
      </c>
    </row>
    <row r="73" spans="1:10" x14ac:dyDescent="0.25">
      <c r="A73" s="28" t="s">
        <v>203</v>
      </c>
      <c r="C73" s="28" t="s">
        <v>159</v>
      </c>
      <c r="D73" s="29" t="str">
        <f>IF(LEFT(A73,3)="094","Licensed","FCFS")</f>
        <v>FCFS</v>
      </c>
      <c r="E73" s="28" t="s">
        <v>81</v>
      </c>
      <c r="F73" s="30" t="s">
        <v>161</v>
      </c>
      <c r="H73" s="31">
        <v>43568</v>
      </c>
      <c r="I73" s="34" t="s">
        <v>231</v>
      </c>
    </row>
    <row r="74" spans="1:10" x14ac:dyDescent="0.25">
      <c r="A74" s="28" t="s">
        <v>126</v>
      </c>
      <c r="C74" s="28" t="s">
        <v>159</v>
      </c>
      <c r="D74" s="29" t="str">
        <f>IF(LEFT(A74,3)="094","Licensed","FCFS")</f>
        <v>FCFS</v>
      </c>
      <c r="E74" s="28" t="s">
        <v>81</v>
      </c>
      <c r="F74" s="30" t="s">
        <v>160</v>
      </c>
      <c r="H74" s="31">
        <v>43568</v>
      </c>
      <c r="I74" s="34" t="s">
        <v>147</v>
      </c>
      <c r="J74" s="29" t="s">
        <v>93</v>
      </c>
    </row>
    <row r="75" spans="1:10" x14ac:dyDescent="0.25">
      <c r="A75" s="28" t="s">
        <v>128</v>
      </c>
      <c r="C75" s="28" t="s">
        <v>159</v>
      </c>
      <c r="D75" s="29" t="str">
        <f>IF(LEFT(A75,3)="094","Licensed","FCFS")</f>
        <v>FCFS</v>
      </c>
      <c r="E75" s="28" t="s">
        <v>81</v>
      </c>
      <c r="F75" s="30" t="s">
        <v>165</v>
      </c>
      <c r="H75" s="31">
        <v>43568</v>
      </c>
      <c r="I75" s="34" t="s">
        <v>149</v>
      </c>
      <c r="J75" s="29" t="s">
        <v>93</v>
      </c>
    </row>
    <row r="76" spans="1:10" x14ac:dyDescent="0.25">
      <c r="A76" s="28" t="s">
        <v>127</v>
      </c>
      <c r="C76" s="28" t="s">
        <v>159</v>
      </c>
      <c r="D76" s="29" t="str">
        <f>IF(LEFT(A76,3)="094","Licensed","FCFS")</f>
        <v>FCFS</v>
      </c>
      <c r="E76" s="28" t="s">
        <v>81</v>
      </c>
      <c r="F76" s="30" t="s">
        <v>166</v>
      </c>
      <c r="H76" s="31">
        <v>43568</v>
      </c>
      <c r="I76" s="34" t="s">
        <v>148</v>
      </c>
      <c r="J76" s="29" t="s">
        <v>93</v>
      </c>
    </row>
    <row r="77" spans="1:10" x14ac:dyDescent="0.25">
      <c r="A77" s="28" t="s">
        <v>205</v>
      </c>
      <c r="C77" s="28" t="s">
        <v>159</v>
      </c>
      <c r="D77" s="29" t="str">
        <f>IF(LEFT(A77,3)="094","Licensed","FCFS")</f>
        <v>FCFS</v>
      </c>
      <c r="E77" s="28" t="s">
        <v>81</v>
      </c>
      <c r="F77" s="30" t="s">
        <v>219</v>
      </c>
      <c r="G77" s="28" t="s">
        <v>586</v>
      </c>
      <c r="H77" s="31">
        <v>43568</v>
      </c>
      <c r="I77" s="34" t="s">
        <v>264</v>
      </c>
    </row>
    <row r="78" spans="1:10" x14ac:dyDescent="0.25">
      <c r="A78" s="28" t="s">
        <v>206</v>
      </c>
      <c r="C78" s="28" t="s">
        <v>159</v>
      </c>
      <c r="D78" s="29" t="str">
        <f>IF(LEFT(A78,3)="094","Licensed","FCFS")</f>
        <v>FCFS</v>
      </c>
      <c r="E78" s="28" t="s">
        <v>81</v>
      </c>
      <c r="F78" s="30" t="s">
        <v>219</v>
      </c>
      <c r="G78" s="28" t="s">
        <v>586</v>
      </c>
      <c r="H78" s="31">
        <v>43568</v>
      </c>
      <c r="I78" s="34" t="s">
        <v>265</v>
      </c>
    </row>
    <row r="79" spans="1:10" x14ac:dyDescent="0.25">
      <c r="A79" s="28" t="s">
        <v>209</v>
      </c>
      <c r="C79" s="28" t="s">
        <v>159</v>
      </c>
      <c r="D79" s="29" t="str">
        <f>IF(LEFT(A79,3)="094","Licensed","FCFS")</f>
        <v>FCFS</v>
      </c>
      <c r="E79" s="28" t="s">
        <v>81</v>
      </c>
      <c r="F79" s="30" t="s">
        <v>238</v>
      </c>
      <c r="H79" s="31">
        <v>43568</v>
      </c>
      <c r="I79" s="34" t="s">
        <v>234</v>
      </c>
    </row>
    <row r="80" spans="1:10" x14ac:dyDescent="0.25">
      <c r="A80" s="28" t="s">
        <v>129</v>
      </c>
      <c r="C80" s="28" t="s">
        <v>159</v>
      </c>
      <c r="D80" s="29" t="str">
        <f>IF(LEFT(A80,3)="094","Licensed","FCFS")</f>
        <v>FCFS</v>
      </c>
      <c r="E80" s="28" t="s">
        <v>81</v>
      </c>
      <c r="F80" s="30" t="s">
        <v>160</v>
      </c>
      <c r="H80" s="31">
        <v>43568</v>
      </c>
      <c r="I80" s="34" t="s">
        <v>150</v>
      </c>
      <c r="J80" s="29" t="s">
        <v>93</v>
      </c>
    </row>
    <row r="81" spans="1:10" x14ac:dyDescent="0.25">
      <c r="A81" s="28" t="s">
        <v>130</v>
      </c>
      <c r="C81" s="28" t="s">
        <v>159</v>
      </c>
      <c r="D81" s="29" t="str">
        <f>IF(LEFT(A81,3)="094","Licensed","FCFS")</f>
        <v>FCFS</v>
      </c>
      <c r="E81" s="28" t="s">
        <v>81</v>
      </c>
      <c r="F81" s="30" t="s">
        <v>98</v>
      </c>
      <c r="H81" s="31">
        <v>43568</v>
      </c>
      <c r="I81" s="34" t="s">
        <v>151</v>
      </c>
      <c r="J81" s="29" t="s">
        <v>93</v>
      </c>
    </row>
    <row r="82" spans="1:10" x14ac:dyDescent="0.25">
      <c r="A82" s="28" t="s">
        <v>210</v>
      </c>
      <c r="C82" s="28" t="s">
        <v>159</v>
      </c>
      <c r="D82" s="29" t="str">
        <f>IF(LEFT(A82,3)="094","Licensed","FCFS")</f>
        <v>FCFS</v>
      </c>
      <c r="E82" s="28" t="s">
        <v>81</v>
      </c>
      <c r="F82" s="30" t="s">
        <v>219</v>
      </c>
      <c r="G82" s="28" t="s">
        <v>587</v>
      </c>
      <c r="H82" s="31">
        <v>43568</v>
      </c>
      <c r="I82" s="34" t="s">
        <v>266</v>
      </c>
    </row>
    <row r="83" spans="1:10" x14ac:dyDescent="0.25">
      <c r="A83" s="28" t="s">
        <v>211</v>
      </c>
      <c r="C83" s="28" t="s">
        <v>159</v>
      </c>
      <c r="D83" s="29" t="str">
        <f>IF(LEFT(A83,3)="094","Licensed","FCFS")</f>
        <v>FCFS</v>
      </c>
      <c r="E83" s="28" t="s">
        <v>81</v>
      </c>
      <c r="F83" s="30" t="s">
        <v>219</v>
      </c>
      <c r="G83" s="28" t="s">
        <v>587</v>
      </c>
      <c r="H83" s="31">
        <v>43568</v>
      </c>
      <c r="I83" s="34" t="s">
        <v>267</v>
      </c>
    </row>
    <row r="84" spans="1:10" x14ac:dyDescent="0.25">
      <c r="A84" s="28" t="s">
        <v>208</v>
      </c>
      <c r="C84" s="28" t="s">
        <v>159</v>
      </c>
      <c r="D84" s="29" t="str">
        <f>IF(LEFT(A84,3)="094","Licensed","FCFS")</f>
        <v>FCFS</v>
      </c>
      <c r="E84" s="28" t="s">
        <v>81</v>
      </c>
      <c r="F84" s="30" t="s">
        <v>161</v>
      </c>
      <c r="H84" s="31">
        <v>43568</v>
      </c>
      <c r="I84" s="34" t="s">
        <v>233</v>
      </c>
    </row>
    <row r="85" spans="1:10" x14ac:dyDescent="0.25">
      <c r="A85" s="28" t="s">
        <v>207</v>
      </c>
      <c r="C85" s="28" t="s">
        <v>159</v>
      </c>
      <c r="D85" s="29" t="str">
        <f>IF(LEFT(A85,3)="094","Licensed","FCFS")</f>
        <v>FCFS</v>
      </c>
      <c r="E85" s="28" t="s">
        <v>81</v>
      </c>
      <c r="F85" s="30" t="s">
        <v>240</v>
      </c>
      <c r="H85" s="31">
        <v>43568</v>
      </c>
      <c r="I85" s="34" t="s">
        <v>232</v>
      </c>
    </row>
    <row r="86" spans="1:10" x14ac:dyDescent="0.25">
      <c r="A86" s="28" t="s">
        <v>131</v>
      </c>
      <c r="C86" s="28" t="s">
        <v>159</v>
      </c>
      <c r="D86" s="29" t="str">
        <f>IF(LEFT(A86,3)="094","Licensed","FCFS")</f>
        <v>FCFS</v>
      </c>
      <c r="E86" s="28" t="s">
        <v>81</v>
      </c>
      <c r="F86" s="30" t="s">
        <v>160</v>
      </c>
      <c r="H86" s="31">
        <v>43568</v>
      </c>
      <c r="I86" s="34" t="s">
        <v>152</v>
      </c>
      <c r="J86" s="29" t="s">
        <v>93</v>
      </c>
    </row>
    <row r="87" spans="1:10" x14ac:dyDescent="0.25">
      <c r="A87" s="28" t="s">
        <v>214</v>
      </c>
      <c r="C87" s="28" t="s">
        <v>159</v>
      </c>
      <c r="D87" s="29" t="str">
        <f>IF(LEFT(A87,3)="094","Licensed","FCFS")</f>
        <v>FCFS</v>
      </c>
      <c r="E87" s="28" t="s">
        <v>81</v>
      </c>
      <c r="F87" s="30" t="s">
        <v>219</v>
      </c>
      <c r="G87" s="28" t="s">
        <v>578</v>
      </c>
      <c r="H87" s="31">
        <v>43568</v>
      </c>
      <c r="I87" s="34" t="s">
        <v>268</v>
      </c>
    </row>
    <row r="88" spans="1:10" x14ac:dyDescent="0.25">
      <c r="A88" s="28" t="s">
        <v>213</v>
      </c>
      <c r="C88" s="28" t="s">
        <v>159</v>
      </c>
      <c r="D88" s="29" t="str">
        <f>IF(LEFT(A88,3)="094","Licensed","FCFS")</f>
        <v>FCFS</v>
      </c>
      <c r="E88" s="28" t="s">
        <v>81</v>
      </c>
      <c r="F88" s="30" t="s">
        <v>219</v>
      </c>
      <c r="G88" s="28" t="s">
        <v>578</v>
      </c>
      <c r="H88" s="31">
        <v>43568</v>
      </c>
      <c r="I88" s="34" t="s">
        <v>269</v>
      </c>
    </row>
    <row r="89" spans="1:10" x14ac:dyDescent="0.25">
      <c r="A89" s="28" t="s">
        <v>212</v>
      </c>
      <c r="C89" s="28" t="s">
        <v>159</v>
      </c>
      <c r="D89" s="29" t="str">
        <f>IF(LEFT(A89,3)="094","Licensed","FCFS")</f>
        <v>FCFS</v>
      </c>
      <c r="E89" s="28" t="s">
        <v>81</v>
      </c>
      <c r="F89" s="30" t="s">
        <v>241</v>
      </c>
      <c r="H89" s="31">
        <v>43568</v>
      </c>
      <c r="I89" s="34" t="s">
        <v>235</v>
      </c>
    </row>
    <row r="90" spans="1:10" x14ac:dyDescent="0.25">
      <c r="A90" s="28" t="s">
        <v>132</v>
      </c>
      <c r="C90" s="28" t="s">
        <v>159</v>
      </c>
      <c r="D90" s="29" t="str">
        <f>IF(LEFT(A90,3)="094","Licensed","FCFS")</f>
        <v>FCFS</v>
      </c>
      <c r="E90" s="28" t="s">
        <v>81</v>
      </c>
      <c r="F90" s="30" t="s">
        <v>161</v>
      </c>
      <c r="H90" s="31">
        <v>43568</v>
      </c>
      <c r="I90" s="34" t="s">
        <v>153</v>
      </c>
      <c r="J90" s="29" t="s">
        <v>93</v>
      </c>
    </row>
    <row r="91" spans="1:10" x14ac:dyDescent="0.25">
      <c r="A91" s="28" t="s">
        <v>216</v>
      </c>
      <c r="C91" s="28" t="s">
        <v>159</v>
      </c>
      <c r="D91" s="29" t="str">
        <f>IF(LEFT(A91,3)="094","Licensed","FCFS")</f>
        <v>FCFS</v>
      </c>
      <c r="E91" s="28" t="s">
        <v>81</v>
      </c>
      <c r="F91" s="30" t="s">
        <v>238</v>
      </c>
      <c r="H91" s="31">
        <v>43568</v>
      </c>
      <c r="I91" s="34" t="s">
        <v>237</v>
      </c>
    </row>
    <row r="92" spans="1:10" x14ac:dyDescent="0.25">
      <c r="A92" s="28" t="s">
        <v>133</v>
      </c>
      <c r="C92" s="28" t="s">
        <v>159</v>
      </c>
      <c r="D92" s="29" t="str">
        <f>IF(LEFT(A92,3)="094","Licensed","FCFS")</f>
        <v>FCFS</v>
      </c>
      <c r="E92" s="28" t="s">
        <v>81</v>
      </c>
      <c r="F92" s="30" t="s">
        <v>160</v>
      </c>
      <c r="H92" s="31">
        <v>43568</v>
      </c>
      <c r="I92" s="34" t="s">
        <v>154</v>
      </c>
      <c r="J92" s="29" t="s">
        <v>93</v>
      </c>
    </row>
    <row r="93" spans="1:10" x14ac:dyDescent="0.25">
      <c r="A93" s="28" t="s">
        <v>217</v>
      </c>
      <c r="C93" s="28" t="s">
        <v>159</v>
      </c>
      <c r="D93" s="29" t="str">
        <f>IF(LEFT(A93,3)="094","Licensed","FCFS")</f>
        <v>FCFS</v>
      </c>
      <c r="E93" s="28" t="s">
        <v>81</v>
      </c>
      <c r="F93" s="30" t="s">
        <v>219</v>
      </c>
      <c r="G93" s="28" t="s">
        <v>588</v>
      </c>
      <c r="H93" s="31">
        <v>43568</v>
      </c>
      <c r="I93" s="34" t="s">
        <v>270</v>
      </c>
    </row>
    <row r="94" spans="1:10" x14ac:dyDescent="0.25">
      <c r="A94" s="28" t="s">
        <v>218</v>
      </c>
      <c r="C94" s="28" t="s">
        <v>159</v>
      </c>
      <c r="D94" s="29" t="str">
        <f>IF(LEFT(A94,3)="094","Licensed","FCFS")</f>
        <v>FCFS</v>
      </c>
      <c r="E94" s="28" t="s">
        <v>81</v>
      </c>
      <c r="F94" s="30" t="s">
        <v>219</v>
      </c>
      <c r="G94" s="28" t="s">
        <v>588</v>
      </c>
      <c r="H94" s="31">
        <v>43568</v>
      </c>
      <c r="I94" s="5" t="s">
        <v>271</v>
      </c>
    </row>
    <row r="95" spans="1:10" x14ac:dyDescent="0.25">
      <c r="A95" s="28" t="s">
        <v>135</v>
      </c>
      <c r="C95" s="28" t="s">
        <v>159</v>
      </c>
      <c r="D95" s="29" t="str">
        <f>IF(LEFT(A95,3)="094","Licensed","FCFS")</f>
        <v>FCFS</v>
      </c>
      <c r="E95" s="28" t="s">
        <v>81</v>
      </c>
      <c r="F95" s="30" t="s">
        <v>163</v>
      </c>
      <c r="H95" s="31">
        <v>43568</v>
      </c>
      <c r="I95" s="5" t="s">
        <v>156</v>
      </c>
      <c r="J95" s="29" t="s">
        <v>93</v>
      </c>
    </row>
    <row r="96" spans="1:10" x14ac:dyDescent="0.25">
      <c r="A96" s="28" t="s">
        <v>134</v>
      </c>
      <c r="C96" s="28" t="s">
        <v>159</v>
      </c>
      <c r="D96" s="29" t="str">
        <f>IF(LEFT(A96,3)="094","Licensed","FCFS")</f>
        <v>FCFS</v>
      </c>
      <c r="E96" s="28" t="s">
        <v>81</v>
      </c>
      <c r="F96" s="30" t="s">
        <v>164</v>
      </c>
      <c r="H96" s="31">
        <v>43568</v>
      </c>
      <c r="I96" s="5" t="s">
        <v>155</v>
      </c>
      <c r="J96" s="29" t="s">
        <v>93</v>
      </c>
    </row>
    <row r="97" spans="1:9" x14ac:dyDescent="0.25">
      <c r="A97" s="28" t="s">
        <v>215</v>
      </c>
      <c r="C97" s="28" t="s">
        <v>159</v>
      </c>
      <c r="D97" s="29" t="str">
        <f>IF(LEFT(A97,3)="094","Licensed","FCFS")</f>
        <v>FCFS</v>
      </c>
      <c r="E97" s="28" t="s">
        <v>81</v>
      </c>
      <c r="F97" s="30" t="s">
        <v>161</v>
      </c>
      <c r="H97" s="31">
        <v>43568</v>
      </c>
      <c r="I97" s="5" t="s">
        <v>236</v>
      </c>
    </row>
  </sheetData>
  <autoFilter ref="A1:J97" xr:uid="{EBD9191F-370E-4794-AEDE-0B92A45327DB}"/>
  <sortState ref="A2:J97">
    <sortCondition ref="I2:I97"/>
  </sortState>
  <dataConsolidate/>
  <conditionalFormatting sqref="B2:C15 E20:G22 B20:B22 H24:H93 I24:J97 H16:J22 A1:A15 A16:G19 A24:G97 E2:J2 B1:J1 A98:J1048576 D3:J15 E23:J23">
    <cfRule type="expression" dxfId="9" priority="15">
      <formula>$D1="Licensed"</formula>
    </cfRule>
  </conditionalFormatting>
  <conditionalFormatting sqref="D2">
    <cfRule type="expression" dxfId="8" priority="12">
      <formula>$D2="Licensed"</formula>
    </cfRule>
  </conditionalFormatting>
  <conditionalFormatting sqref="H94">
    <cfRule type="expression" dxfId="7" priority="9">
      <formula>$D94="Licensed"</formula>
    </cfRule>
  </conditionalFormatting>
  <conditionalFormatting sqref="H95:H97">
    <cfRule type="expression" dxfId="6" priority="8">
      <formula>$D95="Licensed"</formula>
    </cfRule>
  </conditionalFormatting>
  <conditionalFormatting sqref="C20:D22">
    <cfRule type="expression" dxfId="5" priority="7">
      <formula>$D20="Licensed"</formula>
    </cfRule>
  </conditionalFormatting>
  <conditionalFormatting sqref="A23:B23">
    <cfRule type="expression" dxfId="4" priority="6">
      <formula>$D23="Licensed"</formula>
    </cfRule>
  </conditionalFormatting>
  <conditionalFormatting sqref="C23:D23">
    <cfRule type="expression" dxfId="3" priority="5">
      <formula>$D23="Licensed"</formula>
    </cfRule>
  </conditionalFormatting>
  <conditionalFormatting sqref="A20">
    <cfRule type="expression" dxfId="2" priority="4">
      <formula>$D20="Licensed"</formula>
    </cfRule>
  </conditionalFormatting>
  <conditionalFormatting sqref="A22">
    <cfRule type="expression" dxfId="1" priority="3">
      <formula>$D22="Licensed"</formula>
    </cfRule>
  </conditionalFormatting>
  <conditionalFormatting sqref="A21">
    <cfRule type="expression" dxfId="0" priority="2">
      <formula>$D21="Licensed"</formula>
    </cfRule>
  </conditionalFormatting>
  <dataValidations count="1">
    <dataValidation type="list" allowBlank="1" showInputMessage="1" showErrorMessage="1" sqref="E1:E1048576" xr:uid="{FD86358C-271E-427C-AD3E-B430DCE60ACF}">
      <formula1>measure_types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Q77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9.42578125" style="4" bestFit="1" customWidth="1"/>
    <col min="2" max="2" width="36.140625" style="17" customWidth="1"/>
    <col min="3" max="3" width="19.42578125" style="17" customWidth="1"/>
    <col min="4" max="4" width="16.85546875" style="14" bestFit="1" customWidth="1"/>
    <col min="5" max="5" width="16.28515625" style="14" bestFit="1" customWidth="1"/>
    <col min="6" max="6" width="16.28515625" style="18" customWidth="1"/>
    <col min="7" max="7" width="19.140625" style="15" customWidth="1"/>
    <col min="8" max="8" width="23.7109375" style="10" bestFit="1" customWidth="1"/>
    <col min="9" max="9" width="19.28515625" style="10" bestFit="1" customWidth="1"/>
    <col min="10" max="10" width="12.28515625" style="10" bestFit="1" customWidth="1"/>
    <col min="11" max="11" width="16" style="10" bestFit="1" customWidth="1"/>
    <col min="12" max="12" width="19.7109375" style="5" bestFit="1" customWidth="1"/>
    <col min="13" max="13" width="32.5703125" style="5" bestFit="1" customWidth="1"/>
    <col min="14" max="14" width="19.42578125" style="5" bestFit="1" customWidth="1"/>
    <col min="15" max="15" width="18.85546875" style="5" bestFit="1" customWidth="1"/>
    <col min="16" max="16" width="12.28515625" style="38" customWidth="1"/>
    <col min="17" max="17" width="9.140625" style="8"/>
  </cols>
  <sheetData>
    <row r="1" spans="1:17" x14ac:dyDescent="0.25">
      <c r="A1" s="2" t="s">
        <v>0</v>
      </c>
      <c r="B1" s="16" t="s">
        <v>103</v>
      </c>
      <c r="C1" s="16" t="s">
        <v>101</v>
      </c>
      <c r="D1" s="13" t="s">
        <v>1</v>
      </c>
      <c r="E1" s="13" t="s">
        <v>4</v>
      </c>
      <c r="F1" s="19" t="s">
        <v>97</v>
      </c>
      <c r="G1" s="11" t="s">
        <v>5</v>
      </c>
      <c r="H1" s="9" t="s">
        <v>6</v>
      </c>
      <c r="I1" s="9" t="s">
        <v>7</v>
      </c>
      <c r="J1" s="9" t="s">
        <v>8</v>
      </c>
      <c r="K1" s="9" t="s">
        <v>88</v>
      </c>
      <c r="L1" s="6" t="s">
        <v>9</v>
      </c>
      <c r="M1" s="6" t="s">
        <v>10</v>
      </c>
      <c r="N1" s="2" t="s">
        <v>85</v>
      </c>
      <c r="O1" s="2" t="s">
        <v>86</v>
      </c>
      <c r="P1" s="2" t="s">
        <v>100</v>
      </c>
      <c r="Q1" s="33" t="s">
        <v>102</v>
      </c>
    </row>
    <row r="2" spans="1:17" x14ac:dyDescent="0.25">
      <c r="A2" s="20" t="s">
        <v>104</v>
      </c>
      <c r="B2" s="17" t="str">
        <f>VLOOKUP(A2, quota_order_numbers2,5, FALSE)</f>
        <v>122 Non preferential tariff quota</v>
      </c>
      <c r="C2" s="17" t="str">
        <f>IF(LEFT(A2,3)="094","Licensed","FCFS")</f>
        <v>FCFS</v>
      </c>
      <c r="D2" s="14">
        <v>43568</v>
      </c>
      <c r="E2" s="14">
        <v>43646</v>
      </c>
      <c r="F2" s="18">
        <f>DATEDIF(D2, E2, "d")</f>
        <v>78</v>
      </c>
      <c r="G2" s="15">
        <v>143307080</v>
      </c>
      <c r="H2" s="10" t="s">
        <v>27</v>
      </c>
      <c r="I2" s="10">
        <v>3</v>
      </c>
      <c r="J2" s="10" t="s">
        <v>77</v>
      </c>
      <c r="K2" s="10">
        <v>90</v>
      </c>
      <c r="P2" s="38" t="str">
        <f t="shared" ref="P2:P65" si="0">VLOOKUP(A2, quota_order_numbers2, 6, FALSE)</f>
        <v>EU</v>
      </c>
      <c r="Q2" s="10">
        <f t="shared" ref="Q2:Q65" si="1">VLOOKUP(A2, quota_order_numbers2, 2, FALSE)</f>
        <v>0</v>
      </c>
    </row>
    <row r="3" spans="1:17" x14ac:dyDescent="0.25">
      <c r="A3" s="4" t="s">
        <v>107</v>
      </c>
      <c r="B3" s="17" t="str">
        <f>VLOOKUP(A3, quota_order_numbers2,5, FALSE)</f>
        <v>122 Non preferential tariff quota</v>
      </c>
      <c r="C3" s="17" t="str">
        <f t="shared" ref="C3:C41" si="2">IF(LEFT(A3,3)="094","Licensed","FCFS")</f>
        <v>FCFS</v>
      </c>
      <c r="D3" s="14">
        <v>43568</v>
      </c>
      <c r="E3" s="14">
        <v>43646</v>
      </c>
      <c r="F3" s="18">
        <f t="shared" ref="F3:F51" si="3">DATEDIF(D3, E3, "d")</f>
        <v>78</v>
      </c>
      <c r="G3" s="15">
        <v>44836840</v>
      </c>
      <c r="H3" s="10" t="s">
        <v>27</v>
      </c>
      <c r="I3" s="10">
        <v>3</v>
      </c>
      <c r="J3" s="10" t="s">
        <v>77</v>
      </c>
      <c r="K3" s="10">
        <v>90</v>
      </c>
      <c r="P3" s="38" t="str">
        <f t="shared" si="0"/>
        <v>5002</v>
      </c>
      <c r="Q3" s="10">
        <f t="shared" si="1"/>
        <v>0</v>
      </c>
    </row>
    <row r="4" spans="1:17" x14ac:dyDescent="0.25">
      <c r="A4" s="4" t="s">
        <v>105</v>
      </c>
      <c r="B4" s="17" t="str">
        <f>VLOOKUP(A4, quota_order_numbers2,5, FALSE)</f>
        <v>122 Non preferential tariff quota</v>
      </c>
      <c r="C4" s="17" t="str">
        <f t="shared" si="2"/>
        <v>FCFS</v>
      </c>
      <c r="D4" s="14">
        <v>43568</v>
      </c>
      <c r="E4" s="14">
        <v>43646</v>
      </c>
      <c r="F4" s="18">
        <f t="shared" si="3"/>
        <v>78</v>
      </c>
      <c r="G4" s="15">
        <v>22988300</v>
      </c>
      <c r="H4" s="10" t="s">
        <v>27</v>
      </c>
      <c r="I4" s="10">
        <v>3</v>
      </c>
      <c r="J4" s="10" t="s">
        <v>77</v>
      </c>
      <c r="K4" s="10">
        <v>90</v>
      </c>
      <c r="P4" s="38" t="str">
        <f t="shared" si="0"/>
        <v>TR</v>
      </c>
      <c r="Q4" s="10">
        <f t="shared" si="1"/>
        <v>0</v>
      </c>
    </row>
    <row r="5" spans="1:17" x14ac:dyDescent="0.25">
      <c r="A5" s="4" t="s">
        <v>111</v>
      </c>
      <c r="B5" s="17" t="str">
        <f>VLOOKUP(A5, quota_order_numbers2,5, FALSE)</f>
        <v>122 Non preferential tariff quota</v>
      </c>
      <c r="C5" s="17" t="str">
        <f t="shared" si="2"/>
        <v>FCFS</v>
      </c>
      <c r="D5" s="14">
        <v>43568</v>
      </c>
      <c r="E5" s="14">
        <v>43646</v>
      </c>
      <c r="F5" s="18">
        <f t="shared" si="3"/>
        <v>78</v>
      </c>
      <c r="G5" s="15">
        <v>67243500</v>
      </c>
      <c r="H5" s="10" t="s">
        <v>27</v>
      </c>
      <c r="I5" s="10">
        <v>3</v>
      </c>
      <c r="J5" s="10" t="s">
        <v>77</v>
      </c>
      <c r="K5" s="10">
        <v>90</v>
      </c>
      <c r="P5" s="38" t="str">
        <f t="shared" si="0"/>
        <v>EU</v>
      </c>
      <c r="Q5" s="10">
        <f t="shared" si="1"/>
        <v>0</v>
      </c>
    </row>
    <row r="6" spans="1:17" x14ac:dyDescent="0.25">
      <c r="A6" s="4" t="s">
        <v>110</v>
      </c>
      <c r="B6" s="17" t="str">
        <f>VLOOKUP(A6, quota_order_numbers2,5, FALSE)</f>
        <v>122 Non preferential tariff quota</v>
      </c>
      <c r="C6" s="17" t="str">
        <f t="shared" si="2"/>
        <v>FCFS</v>
      </c>
      <c r="D6" s="14">
        <v>43568</v>
      </c>
      <c r="E6" s="14">
        <v>43646</v>
      </c>
      <c r="F6" s="18">
        <f t="shared" si="3"/>
        <v>78</v>
      </c>
      <c r="G6" s="15">
        <v>6869160</v>
      </c>
      <c r="H6" s="10" t="s">
        <v>27</v>
      </c>
      <c r="I6" s="10">
        <v>3</v>
      </c>
      <c r="J6" s="10" t="s">
        <v>77</v>
      </c>
      <c r="K6" s="10">
        <v>90</v>
      </c>
      <c r="P6" s="38" t="str">
        <f t="shared" si="0"/>
        <v>IN</v>
      </c>
      <c r="Q6" s="10">
        <f t="shared" si="1"/>
        <v>0</v>
      </c>
    </row>
    <row r="7" spans="1:17" x14ac:dyDescent="0.25">
      <c r="A7" s="4" t="s">
        <v>171</v>
      </c>
      <c r="B7" s="17" t="str">
        <f>VLOOKUP(A7, quota_order_numbers2,5, FALSE)</f>
        <v>122 Non preferential tariff quota</v>
      </c>
      <c r="C7" s="17" t="str">
        <f t="shared" si="2"/>
        <v>FCFS</v>
      </c>
      <c r="D7" s="14">
        <v>43568</v>
      </c>
      <c r="E7" s="14">
        <v>43646</v>
      </c>
      <c r="F7" s="18">
        <f t="shared" si="3"/>
        <v>78</v>
      </c>
      <c r="G7" s="15">
        <v>25318400</v>
      </c>
      <c r="H7" s="10" t="s">
        <v>27</v>
      </c>
      <c r="I7" s="10">
        <v>3</v>
      </c>
      <c r="J7" s="10" t="s">
        <v>77</v>
      </c>
      <c r="K7" s="10">
        <v>90</v>
      </c>
      <c r="P7" s="38" t="str">
        <f t="shared" si="0"/>
        <v>5002</v>
      </c>
      <c r="Q7" s="10">
        <f t="shared" si="1"/>
        <v>0</v>
      </c>
    </row>
    <row r="8" spans="1:17" x14ac:dyDescent="0.25">
      <c r="A8" s="4" t="s">
        <v>109</v>
      </c>
      <c r="B8" s="17" t="str">
        <f>VLOOKUP(A8, quota_order_numbers2,5, FALSE)</f>
        <v>122 Non preferential tariff quota</v>
      </c>
      <c r="C8" s="17" t="str">
        <f t="shared" si="2"/>
        <v>FCFS</v>
      </c>
      <c r="D8" s="14">
        <v>43568</v>
      </c>
      <c r="E8" s="14">
        <v>43646</v>
      </c>
      <c r="F8" s="18">
        <f t="shared" si="3"/>
        <v>78</v>
      </c>
      <c r="G8" s="15">
        <v>9147880</v>
      </c>
      <c r="H8" s="10" t="s">
        <v>27</v>
      </c>
      <c r="I8" s="10">
        <v>3</v>
      </c>
      <c r="J8" s="10" t="s">
        <v>77</v>
      </c>
      <c r="K8" s="10">
        <v>90</v>
      </c>
      <c r="P8" s="38" t="str">
        <f t="shared" si="0"/>
        <v>KR</v>
      </c>
      <c r="Q8" s="10">
        <f t="shared" si="1"/>
        <v>0</v>
      </c>
    </row>
    <row r="9" spans="1:17" x14ac:dyDescent="0.25">
      <c r="A9" s="4" t="s">
        <v>243</v>
      </c>
      <c r="B9" s="17" t="str">
        <f>VLOOKUP(A9, quota_order_numbers2,5, FALSE)</f>
        <v>122 Non preferential tariff quota</v>
      </c>
      <c r="C9" s="17" t="str">
        <f t="shared" si="2"/>
        <v>FCFS</v>
      </c>
      <c r="D9" s="14">
        <v>43568</v>
      </c>
      <c r="E9" s="14">
        <v>43646</v>
      </c>
      <c r="F9" s="18">
        <f t="shared" si="3"/>
        <v>78</v>
      </c>
      <c r="G9" s="15">
        <v>39281640</v>
      </c>
      <c r="H9" s="10" t="s">
        <v>27</v>
      </c>
      <c r="I9" s="10">
        <v>3</v>
      </c>
      <c r="J9" s="10" t="s">
        <v>77</v>
      </c>
      <c r="K9" s="10">
        <v>90</v>
      </c>
      <c r="P9" s="38" t="str">
        <f t="shared" si="0"/>
        <v>5002</v>
      </c>
      <c r="Q9" s="10">
        <f t="shared" si="1"/>
        <v>0</v>
      </c>
    </row>
    <row r="10" spans="1:17" x14ac:dyDescent="0.25">
      <c r="A10" s="4" t="s">
        <v>157</v>
      </c>
      <c r="B10" s="17" t="str">
        <f>VLOOKUP(A10, quota_order_numbers2,5, FALSE)</f>
        <v>122 Non preferential tariff quota</v>
      </c>
      <c r="C10" s="17" t="str">
        <f t="shared" si="2"/>
        <v>FCFS</v>
      </c>
      <c r="D10" s="14">
        <v>43568</v>
      </c>
      <c r="E10" s="14">
        <v>43646</v>
      </c>
      <c r="F10" s="18">
        <f t="shared" si="3"/>
        <v>78</v>
      </c>
      <c r="G10" s="15">
        <v>116932050</v>
      </c>
      <c r="H10" s="10" t="s">
        <v>27</v>
      </c>
      <c r="I10" s="10">
        <v>3</v>
      </c>
      <c r="J10" s="10" t="s">
        <v>77</v>
      </c>
      <c r="K10" s="10">
        <v>90</v>
      </c>
      <c r="P10" s="38" t="str">
        <f t="shared" si="0"/>
        <v>EU</v>
      </c>
      <c r="Q10" s="10">
        <f t="shared" si="1"/>
        <v>0</v>
      </c>
    </row>
    <row r="11" spans="1:17" x14ac:dyDescent="0.25">
      <c r="A11" s="4" t="s">
        <v>158</v>
      </c>
      <c r="B11" s="17" t="str">
        <f>VLOOKUP(A11, quota_order_numbers2,5, FALSE)</f>
        <v>122 Non preferential tariff quota</v>
      </c>
      <c r="C11" s="17" t="str">
        <f t="shared" si="2"/>
        <v>FCFS</v>
      </c>
      <c r="D11" s="14">
        <v>43568</v>
      </c>
      <c r="E11" s="14">
        <v>43646</v>
      </c>
      <c r="F11" s="18">
        <f t="shared" si="3"/>
        <v>78</v>
      </c>
      <c r="G11" s="15">
        <v>18955510</v>
      </c>
      <c r="H11" s="10" t="s">
        <v>27</v>
      </c>
      <c r="I11" s="10">
        <v>3</v>
      </c>
      <c r="J11" s="10" t="s">
        <v>77</v>
      </c>
      <c r="K11" s="10">
        <v>90</v>
      </c>
      <c r="P11" s="38" t="str">
        <f t="shared" si="0"/>
        <v>TW</v>
      </c>
      <c r="Q11" s="10">
        <f t="shared" si="1"/>
        <v>0</v>
      </c>
    </row>
    <row r="12" spans="1:17" x14ac:dyDescent="0.25">
      <c r="A12" s="4" t="s">
        <v>244</v>
      </c>
      <c r="B12" s="17" t="str">
        <f>VLOOKUP(A12, quota_order_numbers2,5, FALSE)</f>
        <v>122 Non preferential tariff quota</v>
      </c>
      <c r="C12" s="17" t="str">
        <f t="shared" si="2"/>
        <v>FCFS</v>
      </c>
      <c r="D12" s="14">
        <v>43568</v>
      </c>
      <c r="E12" s="14">
        <v>43646</v>
      </c>
      <c r="F12" s="18">
        <f t="shared" si="3"/>
        <v>78</v>
      </c>
      <c r="G12" s="15">
        <v>9787880</v>
      </c>
      <c r="H12" s="10" t="s">
        <v>27</v>
      </c>
      <c r="I12" s="10">
        <v>3</v>
      </c>
      <c r="J12" s="10" t="s">
        <v>77</v>
      </c>
      <c r="K12" s="10">
        <v>90</v>
      </c>
      <c r="P12" s="38" t="str">
        <f t="shared" si="0"/>
        <v>KR</v>
      </c>
      <c r="Q12" s="10">
        <f t="shared" si="1"/>
        <v>0</v>
      </c>
    </row>
    <row r="13" spans="1:17" x14ac:dyDescent="0.25">
      <c r="A13" s="4" t="s">
        <v>310</v>
      </c>
      <c r="B13" s="17" t="str">
        <f>VLOOKUP(A13, quota_order_numbers2,5, FALSE)</f>
        <v>122 Non preferential tariff quota</v>
      </c>
      <c r="C13" s="17" t="str">
        <f t="shared" si="2"/>
        <v>FCFS</v>
      </c>
      <c r="D13" s="14">
        <v>43568</v>
      </c>
      <c r="E13" s="14">
        <v>43646</v>
      </c>
      <c r="F13" s="18">
        <f t="shared" si="3"/>
        <v>78</v>
      </c>
      <c r="G13" s="15">
        <v>12032320</v>
      </c>
      <c r="H13" s="10" t="s">
        <v>27</v>
      </c>
      <c r="I13" s="10">
        <v>3</v>
      </c>
      <c r="J13" s="10" t="s">
        <v>77</v>
      </c>
      <c r="K13" s="10">
        <v>90</v>
      </c>
      <c r="P13" s="38" t="str">
        <f t="shared" si="0"/>
        <v>5002</v>
      </c>
      <c r="Q13" s="10">
        <f t="shared" si="1"/>
        <v>0</v>
      </c>
    </row>
    <row r="14" spans="1:17" x14ac:dyDescent="0.25">
      <c r="A14" s="4" t="s">
        <v>169</v>
      </c>
      <c r="B14" s="17" t="str">
        <f>VLOOKUP(A14, quota_order_numbers2,5, FALSE)</f>
        <v>122 Non preferential tariff quota</v>
      </c>
      <c r="C14" s="17" t="str">
        <f t="shared" si="2"/>
        <v>FCFS</v>
      </c>
      <c r="D14" s="14">
        <v>43568</v>
      </c>
      <c r="E14" s="14">
        <v>43646</v>
      </c>
      <c r="F14" s="18">
        <f t="shared" si="3"/>
        <v>78</v>
      </c>
      <c r="G14" s="15">
        <v>126803730</v>
      </c>
      <c r="H14" s="10" t="s">
        <v>27</v>
      </c>
      <c r="I14" s="10">
        <v>3</v>
      </c>
      <c r="J14" s="10" t="s">
        <v>77</v>
      </c>
      <c r="K14" s="10">
        <v>90</v>
      </c>
      <c r="P14" s="38" t="str">
        <f t="shared" si="0"/>
        <v>EU</v>
      </c>
      <c r="Q14" s="10">
        <f t="shared" si="1"/>
        <v>0</v>
      </c>
    </row>
    <row r="15" spans="1:17" x14ac:dyDescent="0.25">
      <c r="A15" s="4" t="s">
        <v>170</v>
      </c>
      <c r="B15" s="17" t="str">
        <f>VLOOKUP(A15, quota_order_numbers2,5, FALSE)</f>
        <v>122 Non preferential tariff quota</v>
      </c>
      <c r="C15" s="17" t="str">
        <f t="shared" si="2"/>
        <v>FCFS</v>
      </c>
      <c r="D15" s="14">
        <v>43568</v>
      </c>
      <c r="E15" s="14">
        <v>43646</v>
      </c>
      <c r="F15" s="18">
        <f t="shared" si="3"/>
        <v>78</v>
      </c>
      <c r="G15" s="15">
        <v>11943770</v>
      </c>
      <c r="H15" s="10" t="s">
        <v>27</v>
      </c>
      <c r="I15" s="10">
        <v>3</v>
      </c>
      <c r="J15" s="10" t="s">
        <v>77</v>
      </c>
      <c r="K15" s="10">
        <v>90</v>
      </c>
      <c r="P15" s="38" t="str">
        <f t="shared" si="0"/>
        <v>TR</v>
      </c>
      <c r="Q15" s="10">
        <f t="shared" si="1"/>
        <v>0</v>
      </c>
    </row>
    <row r="16" spans="1:17" x14ac:dyDescent="0.25">
      <c r="A16" s="4" t="s">
        <v>307</v>
      </c>
      <c r="B16" s="17" t="str">
        <f>VLOOKUP(A16, quota_order_numbers2,5, FALSE)</f>
        <v>122 Non preferential tariff quota</v>
      </c>
      <c r="C16" s="17" t="str">
        <f t="shared" si="2"/>
        <v>FCFS</v>
      </c>
      <c r="D16" s="14">
        <v>43568</v>
      </c>
      <c r="E16" s="14">
        <v>43646</v>
      </c>
      <c r="F16" s="18">
        <f t="shared" si="3"/>
        <v>78</v>
      </c>
      <c r="G16" s="15">
        <v>13829020</v>
      </c>
      <c r="H16" s="10" t="s">
        <v>27</v>
      </c>
      <c r="I16" s="10">
        <v>3</v>
      </c>
      <c r="J16" s="10" t="s">
        <v>77</v>
      </c>
      <c r="K16" s="10">
        <v>90</v>
      </c>
      <c r="P16" s="38" t="str">
        <f t="shared" si="0"/>
        <v>CN</v>
      </c>
      <c r="Q16" s="10">
        <f t="shared" si="1"/>
        <v>0</v>
      </c>
    </row>
    <row r="17" spans="1:17" x14ac:dyDescent="0.25">
      <c r="A17" s="4" t="s">
        <v>309</v>
      </c>
      <c r="B17" s="17" t="str">
        <f>VLOOKUP(A17, quota_order_numbers2,5, FALSE)</f>
        <v>122 Non preferential tariff quota</v>
      </c>
      <c r="C17" s="17" t="str">
        <f t="shared" si="2"/>
        <v>FCFS</v>
      </c>
      <c r="D17" s="14">
        <v>43568</v>
      </c>
      <c r="E17" s="14">
        <v>43646</v>
      </c>
      <c r="F17" s="18">
        <f t="shared" si="3"/>
        <v>78</v>
      </c>
      <c r="G17" s="15">
        <v>13364810</v>
      </c>
      <c r="H17" s="10" t="s">
        <v>27</v>
      </c>
      <c r="I17" s="10">
        <v>3</v>
      </c>
      <c r="J17" s="10" t="s">
        <v>77</v>
      </c>
      <c r="K17" s="10">
        <v>90</v>
      </c>
      <c r="P17" s="38" t="str">
        <f t="shared" si="0"/>
        <v>IN</v>
      </c>
      <c r="Q17" s="10">
        <f t="shared" si="1"/>
        <v>0</v>
      </c>
    </row>
    <row r="18" spans="1:17" x14ac:dyDescent="0.25">
      <c r="A18" s="4" t="s">
        <v>308</v>
      </c>
      <c r="B18" s="17" t="str">
        <f>VLOOKUP(A18, quota_order_numbers2,5, FALSE)</f>
        <v>122 Non preferential tariff quota</v>
      </c>
      <c r="C18" s="17" t="str">
        <f t="shared" si="2"/>
        <v>FCFS</v>
      </c>
      <c r="D18" s="14">
        <v>43568</v>
      </c>
      <c r="E18" s="14">
        <v>43646</v>
      </c>
      <c r="F18" s="18">
        <f t="shared" si="3"/>
        <v>78</v>
      </c>
      <c r="G18" s="15">
        <v>11737660</v>
      </c>
      <c r="H18" s="10" t="s">
        <v>27</v>
      </c>
      <c r="I18" s="10">
        <v>3</v>
      </c>
      <c r="J18" s="10" t="s">
        <v>77</v>
      </c>
      <c r="K18" s="10">
        <v>90</v>
      </c>
      <c r="P18" s="38" t="str">
        <f t="shared" si="0"/>
        <v>KR</v>
      </c>
      <c r="Q18" s="10">
        <f t="shared" si="1"/>
        <v>0</v>
      </c>
    </row>
    <row r="19" spans="1:17" x14ac:dyDescent="0.25">
      <c r="A19" s="4" t="s">
        <v>306</v>
      </c>
      <c r="B19" s="17" t="str">
        <f>VLOOKUP(A19, quota_order_numbers2,5, FALSE)</f>
        <v>122 Non preferential tariff quota</v>
      </c>
      <c r="C19" s="17" t="str">
        <f t="shared" si="2"/>
        <v>FCFS</v>
      </c>
      <c r="D19" s="14">
        <v>43568</v>
      </c>
      <c r="E19" s="14">
        <v>43646</v>
      </c>
      <c r="F19" s="18">
        <f t="shared" si="3"/>
        <v>78</v>
      </c>
      <c r="G19" s="15">
        <v>10860260</v>
      </c>
      <c r="H19" s="10" t="s">
        <v>27</v>
      </c>
      <c r="I19" s="10">
        <v>3</v>
      </c>
      <c r="J19" s="10" t="s">
        <v>77</v>
      </c>
      <c r="K19" s="10">
        <v>90</v>
      </c>
      <c r="P19" s="38" t="str">
        <f t="shared" si="0"/>
        <v>TW</v>
      </c>
      <c r="Q19" s="10">
        <f t="shared" si="1"/>
        <v>0</v>
      </c>
    </row>
    <row r="20" spans="1:17" x14ac:dyDescent="0.25">
      <c r="A20" s="4" t="s">
        <v>112</v>
      </c>
      <c r="B20" s="17" t="str">
        <f>VLOOKUP(A20, quota_order_numbers2,5, FALSE)</f>
        <v>122 Non preferential tariff quota</v>
      </c>
      <c r="C20" s="17" t="str">
        <f t="shared" si="2"/>
        <v>FCFS</v>
      </c>
      <c r="D20" s="14">
        <v>43568</v>
      </c>
      <c r="E20" s="14">
        <v>43646</v>
      </c>
      <c r="F20" s="18">
        <f t="shared" si="3"/>
        <v>78</v>
      </c>
      <c r="G20" s="15">
        <v>30285410</v>
      </c>
      <c r="H20" s="10" t="s">
        <v>27</v>
      </c>
      <c r="I20" s="10">
        <v>3</v>
      </c>
      <c r="J20" s="10" t="s">
        <v>77</v>
      </c>
      <c r="K20" s="10">
        <v>90</v>
      </c>
      <c r="P20" s="38" t="str">
        <f t="shared" si="0"/>
        <v>EU</v>
      </c>
      <c r="Q20" s="10">
        <f t="shared" si="1"/>
        <v>0</v>
      </c>
    </row>
    <row r="21" spans="1:17" x14ac:dyDescent="0.25">
      <c r="A21" s="4" t="s">
        <v>172</v>
      </c>
      <c r="B21" s="17" t="str">
        <f>VLOOKUP(A21, quota_order_numbers2,5, FALSE)</f>
        <v>122 Non preferential tariff quota</v>
      </c>
      <c r="C21" s="17" t="str">
        <f t="shared" si="2"/>
        <v>FCFS</v>
      </c>
      <c r="D21" s="14">
        <v>43568</v>
      </c>
      <c r="E21" s="14">
        <v>43646</v>
      </c>
      <c r="F21" s="18">
        <f t="shared" si="3"/>
        <v>78</v>
      </c>
      <c r="G21" s="15">
        <v>3699780</v>
      </c>
      <c r="H21" s="10" t="s">
        <v>27</v>
      </c>
      <c r="I21" s="10">
        <v>3</v>
      </c>
      <c r="J21" s="10" t="s">
        <v>77</v>
      </c>
      <c r="K21" s="10">
        <v>90</v>
      </c>
      <c r="P21" s="38" t="str">
        <f t="shared" si="0"/>
        <v>KR</v>
      </c>
      <c r="Q21" s="10">
        <f t="shared" si="1"/>
        <v>0</v>
      </c>
    </row>
    <row r="22" spans="1:17" x14ac:dyDescent="0.25">
      <c r="A22" s="4" t="s">
        <v>173</v>
      </c>
      <c r="B22" s="17" t="str">
        <f>VLOOKUP(A22, quota_order_numbers2,5, FALSE)</f>
        <v>122 Non preferential tariff quota</v>
      </c>
      <c r="C22" s="17" t="str">
        <f t="shared" si="2"/>
        <v>FCFS</v>
      </c>
      <c r="D22" s="14">
        <v>43568</v>
      </c>
      <c r="E22" s="14">
        <v>43646</v>
      </c>
      <c r="F22" s="18">
        <f t="shared" si="3"/>
        <v>78</v>
      </c>
      <c r="G22" s="15">
        <v>1035619.9999999999</v>
      </c>
      <c r="H22" s="10" t="s">
        <v>27</v>
      </c>
      <c r="I22" s="10">
        <v>3</v>
      </c>
      <c r="J22" s="10" t="s">
        <v>77</v>
      </c>
      <c r="K22" s="10">
        <v>90</v>
      </c>
      <c r="P22" s="38" t="str">
        <f t="shared" si="0"/>
        <v>5002</v>
      </c>
      <c r="Q22" s="10">
        <f t="shared" si="1"/>
        <v>0</v>
      </c>
    </row>
    <row r="23" spans="1:17" x14ac:dyDescent="0.25">
      <c r="A23" s="4" t="s">
        <v>175</v>
      </c>
      <c r="B23" s="17" t="str">
        <f>VLOOKUP(A23, quota_order_numbers2,5, FALSE)</f>
        <v>122 Non preferential tariff quota</v>
      </c>
      <c r="C23" s="17" t="str">
        <f t="shared" si="2"/>
        <v>FCFS</v>
      </c>
      <c r="D23" s="14">
        <v>43568</v>
      </c>
      <c r="E23" s="14">
        <v>43646</v>
      </c>
      <c r="F23" s="18">
        <f t="shared" si="3"/>
        <v>78</v>
      </c>
      <c r="G23" s="15">
        <v>3742170</v>
      </c>
      <c r="H23" s="10" t="s">
        <v>27</v>
      </c>
      <c r="I23" s="10">
        <v>3</v>
      </c>
      <c r="J23" s="10" t="s">
        <v>77</v>
      </c>
      <c r="K23" s="10">
        <v>90</v>
      </c>
      <c r="P23" s="38" t="str">
        <f t="shared" si="0"/>
        <v>CN</v>
      </c>
      <c r="Q23" s="10">
        <f t="shared" si="1"/>
        <v>0</v>
      </c>
    </row>
    <row r="24" spans="1:17" x14ac:dyDescent="0.25">
      <c r="A24" s="4" t="s">
        <v>113</v>
      </c>
      <c r="B24" s="17" t="str">
        <f>VLOOKUP(A24, quota_order_numbers2,5, FALSE)</f>
        <v>122 Non preferential tariff quota</v>
      </c>
      <c r="C24" s="17" t="str">
        <f t="shared" si="2"/>
        <v>FCFS</v>
      </c>
      <c r="D24" s="14">
        <v>43568</v>
      </c>
      <c r="E24" s="14">
        <v>43646</v>
      </c>
      <c r="F24" s="18">
        <f t="shared" si="3"/>
        <v>78</v>
      </c>
      <c r="G24" s="15">
        <v>31548340</v>
      </c>
      <c r="H24" s="10" t="s">
        <v>27</v>
      </c>
      <c r="I24" s="10">
        <v>3</v>
      </c>
      <c r="J24" s="10" t="s">
        <v>77</v>
      </c>
      <c r="K24" s="10">
        <v>90</v>
      </c>
      <c r="P24" s="38" t="str">
        <f t="shared" si="0"/>
        <v>EU</v>
      </c>
      <c r="Q24" s="10">
        <f t="shared" si="1"/>
        <v>0</v>
      </c>
    </row>
    <row r="25" spans="1:17" x14ac:dyDescent="0.25">
      <c r="A25" s="4" t="s">
        <v>176</v>
      </c>
      <c r="B25" s="17" t="str">
        <f>VLOOKUP(A25, quota_order_numbers2,5, FALSE)</f>
        <v>122 Non preferential tariff quota</v>
      </c>
      <c r="C25" s="17" t="str">
        <f t="shared" si="2"/>
        <v>FCFS</v>
      </c>
      <c r="D25" s="14">
        <v>43568</v>
      </c>
      <c r="E25" s="14">
        <v>43646</v>
      </c>
      <c r="F25" s="18">
        <f t="shared" si="3"/>
        <v>78</v>
      </c>
      <c r="G25" s="15">
        <v>4109960</v>
      </c>
      <c r="H25" s="10" t="s">
        <v>27</v>
      </c>
      <c r="I25" s="10">
        <v>3</v>
      </c>
      <c r="J25" s="10" t="s">
        <v>77</v>
      </c>
      <c r="K25" s="10">
        <v>90</v>
      </c>
      <c r="P25" s="38" t="str">
        <f t="shared" si="0"/>
        <v>5002</v>
      </c>
      <c r="Q25" s="10">
        <f t="shared" si="1"/>
        <v>0</v>
      </c>
    </row>
    <row r="26" spans="1:17" x14ac:dyDescent="0.25">
      <c r="A26" s="4" t="s">
        <v>114</v>
      </c>
      <c r="B26" s="17" t="str">
        <f>VLOOKUP(A26, quota_order_numbers2,5, FALSE)</f>
        <v>122 Non preferential tariff quota</v>
      </c>
      <c r="C26" s="17" t="str">
        <f t="shared" si="2"/>
        <v>FCFS</v>
      </c>
      <c r="D26" s="14">
        <v>43568</v>
      </c>
      <c r="E26" s="14">
        <v>43646</v>
      </c>
      <c r="F26" s="18">
        <f t="shared" si="3"/>
        <v>78</v>
      </c>
      <c r="G26" s="15">
        <v>58949830</v>
      </c>
      <c r="H26" s="10" t="s">
        <v>27</v>
      </c>
      <c r="I26" s="10">
        <v>3</v>
      </c>
      <c r="J26" s="10" t="s">
        <v>77</v>
      </c>
      <c r="K26" s="10">
        <v>90</v>
      </c>
      <c r="P26" s="38" t="str">
        <f t="shared" si="0"/>
        <v>EU</v>
      </c>
      <c r="Q26" s="10">
        <f t="shared" si="1"/>
        <v>0</v>
      </c>
    </row>
    <row r="27" spans="1:17" x14ac:dyDescent="0.25">
      <c r="A27" s="4" t="s">
        <v>179</v>
      </c>
      <c r="B27" s="17" t="str">
        <f>VLOOKUP(A27, quota_order_numbers2,5, FALSE)</f>
        <v>122 Non preferential tariff quota</v>
      </c>
      <c r="C27" s="17" t="str">
        <f t="shared" si="2"/>
        <v>FCFS</v>
      </c>
      <c r="D27" s="14">
        <v>43568</v>
      </c>
      <c r="E27" s="14">
        <v>43646</v>
      </c>
      <c r="F27" s="18">
        <f t="shared" si="3"/>
        <v>78</v>
      </c>
      <c r="G27" s="15">
        <v>15124630</v>
      </c>
      <c r="H27" s="10" t="s">
        <v>27</v>
      </c>
      <c r="I27" s="10">
        <v>3</v>
      </c>
      <c r="J27" s="10" t="s">
        <v>77</v>
      </c>
      <c r="K27" s="10">
        <v>90</v>
      </c>
      <c r="P27" s="38" t="str">
        <f t="shared" si="0"/>
        <v>5002</v>
      </c>
      <c r="Q27" s="10">
        <f t="shared" si="1"/>
        <v>0</v>
      </c>
    </row>
    <row r="28" spans="1:17" x14ac:dyDescent="0.25">
      <c r="A28" s="4" t="s">
        <v>178</v>
      </c>
      <c r="B28" s="17" t="str">
        <f>VLOOKUP(A28, quota_order_numbers2,5, FALSE)</f>
        <v>122 Non preferential tariff quota</v>
      </c>
      <c r="C28" s="17" t="str">
        <f t="shared" si="2"/>
        <v>FCFS</v>
      </c>
      <c r="D28" s="14">
        <v>43568</v>
      </c>
      <c r="E28" s="14">
        <v>43646</v>
      </c>
      <c r="F28" s="18">
        <f t="shared" si="3"/>
        <v>78</v>
      </c>
      <c r="G28" s="15">
        <v>7606730</v>
      </c>
      <c r="H28" s="10" t="s">
        <v>27</v>
      </c>
      <c r="I28" s="10">
        <v>3</v>
      </c>
      <c r="J28" s="10" t="s">
        <v>77</v>
      </c>
      <c r="K28" s="10">
        <v>90</v>
      </c>
      <c r="P28" s="38" t="str">
        <f t="shared" si="0"/>
        <v>UA</v>
      </c>
      <c r="Q28" s="10">
        <f t="shared" si="1"/>
        <v>0</v>
      </c>
    </row>
    <row r="29" spans="1:17" x14ac:dyDescent="0.25">
      <c r="A29" s="4" t="s">
        <v>115</v>
      </c>
      <c r="B29" s="17" t="str">
        <f>VLOOKUP(A29, quota_order_numbers2,5, FALSE)</f>
        <v>122 Non preferential tariff quota</v>
      </c>
      <c r="C29" s="17" t="str">
        <f t="shared" si="2"/>
        <v>FCFS</v>
      </c>
      <c r="D29" s="14">
        <v>43568</v>
      </c>
      <c r="E29" s="14">
        <v>43646</v>
      </c>
      <c r="F29" s="18">
        <f t="shared" si="3"/>
        <v>78</v>
      </c>
      <c r="G29" s="15">
        <v>47135000</v>
      </c>
      <c r="H29" s="10" t="s">
        <v>27</v>
      </c>
      <c r="I29" s="10">
        <v>3</v>
      </c>
      <c r="J29" s="10" t="s">
        <v>77</v>
      </c>
      <c r="K29" s="10">
        <v>90</v>
      </c>
      <c r="P29" s="38" t="str">
        <f t="shared" si="0"/>
        <v>EU</v>
      </c>
      <c r="Q29" s="10">
        <f t="shared" si="1"/>
        <v>0</v>
      </c>
    </row>
    <row r="30" spans="1:17" x14ac:dyDescent="0.25">
      <c r="A30" s="4" t="s">
        <v>182</v>
      </c>
      <c r="B30" s="17" t="str">
        <f>VLOOKUP(A30, quota_order_numbers2,5, FALSE)</f>
        <v>122 Non preferential tariff quota</v>
      </c>
      <c r="C30" s="17" t="str">
        <f t="shared" si="2"/>
        <v>FCFS</v>
      </c>
      <c r="D30" s="14">
        <v>43568</v>
      </c>
      <c r="E30" s="14">
        <v>43646</v>
      </c>
      <c r="F30" s="18">
        <f t="shared" si="3"/>
        <v>78</v>
      </c>
      <c r="G30" s="15">
        <v>8142610</v>
      </c>
      <c r="H30" s="10" t="s">
        <v>27</v>
      </c>
      <c r="I30" s="10">
        <v>3</v>
      </c>
      <c r="J30" s="10" t="s">
        <v>77</v>
      </c>
      <c r="K30" s="10">
        <v>90</v>
      </c>
      <c r="P30" s="38" t="str">
        <f t="shared" si="0"/>
        <v>5002</v>
      </c>
      <c r="Q30" s="10">
        <f t="shared" si="1"/>
        <v>0</v>
      </c>
    </row>
    <row r="31" spans="1:17" x14ac:dyDescent="0.25">
      <c r="A31" s="4" t="s">
        <v>181</v>
      </c>
      <c r="B31" s="17" t="str">
        <f>VLOOKUP(A31, quota_order_numbers2,5, FALSE)</f>
        <v>122 Non preferential tariff quota</v>
      </c>
      <c r="C31" s="17" t="str">
        <f t="shared" si="2"/>
        <v>FCFS</v>
      </c>
      <c r="D31" s="14">
        <v>43568</v>
      </c>
      <c r="E31" s="14">
        <v>43646</v>
      </c>
      <c r="F31" s="18">
        <f t="shared" si="3"/>
        <v>78</v>
      </c>
      <c r="G31" s="15">
        <v>10984610</v>
      </c>
      <c r="H31" s="10" t="s">
        <v>27</v>
      </c>
      <c r="I31" s="10">
        <v>3</v>
      </c>
      <c r="J31" s="10" t="s">
        <v>77</v>
      </c>
      <c r="K31" s="10">
        <v>90</v>
      </c>
      <c r="P31" s="38" t="str">
        <f t="shared" si="0"/>
        <v>TR</v>
      </c>
      <c r="Q31" s="10">
        <f t="shared" si="1"/>
        <v>0</v>
      </c>
    </row>
    <row r="32" spans="1:17" x14ac:dyDescent="0.25">
      <c r="A32" s="4" t="s">
        <v>117</v>
      </c>
      <c r="B32" s="17" t="str">
        <f>VLOOKUP(A32, quota_order_numbers2,5, FALSE)</f>
        <v>122 Non preferential tariff quota</v>
      </c>
      <c r="C32" s="17" t="str">
        <f t="shared" si="2"/>
        <v>FCFS</v>
      </c>
      <c r="D32" s="14">
        <v>43568</v>
      </c>
      <c r="E32" s="14">
        <v>43646</v>
      </c>
      <c r="F32" s="18">
        <f t="shared" si="3"/>
        <v>78</v>
      </c>
      <c r="G32" s="15">
        <v>8034710</v>
      </c>
      <c r="H32" s="10" t="s">
        <v>27</v>
      </c>
      <c r="I32" s="10">
        <v>3</v>
      </c>
      <c r="J32" s="10" t="s">
        <v>77</v>
      </c>
      <c r="K32" s="10">
        <v>90</v>
      </c>
      <c r="P32" s="38" t="str">
        <f t="shared" si="0"/>
        <v>BY</v>
      </c>
      <c r="Q32" s="10">
        <f t="shared" si="1"/>
        <v>0</v>
      </c>
    </row>
    <row r="33" spans="1:17" x14ac:dyDescent="0.25">
      <c r="A33" s="4" t="s">
        <v>116</v>
      </c>
      <c r="B33" s="17" t="str">
        <f>VLOOKUP(A33, quota_order_numbers2,5, FALSE)</f>
        <v>122 Non preferential tariff quota</v>
      </c>
      <c r="C33" s="17" t="str">
        <f t="shared" si="2"/>
        <v>FCFS</v>
      </c>
      <c r="D33" s="14">
        <v>43568</v>
      </c>
      <c r="E33" s="14">
        <v>43646</v>
      </c>
      <c r="F33" s="18">
        <f t="shared" si="3"/>
        <v>78</v>
      </c>
      <c r="G33" s="15">
        <v>41169280</v>
      </c>
      <c r="H33" s="10" t="s">
        <v>27</v>
      </c>
      <c r="I33" s="10">
        <v>3</v>
      </c>
      <c r="J33" s="10" t="s">
        <v>77</v>
      </c>
      <c r="K33" s="10">
        <v>90</v>
      </c>
      <c r="P33" s="38" t="str">
        <f t="shared" si="0"/>
        <v>EU</v>
      </c>
      <c r="Q33" s="10">
        <f t="shared" si="1"/>
        <v>0</v>
      </c>
    </row>
    <row r="34" spans="1:17" x14ac:dyDescent="0.25">
      <c r="A34" s="4" t="s">
        <v>186</v>
      </c>
      <c r="B34" s="17" t="str">
        <f>VLOOKUP(A34, quota_order_numbers2,5, FALSE)</f>
        <v>122 Non preferential tariff quota</v>
      </c>
      <c r="C34" s="17" t="str">
        <f t="shared" si="2"/>
        <v>FCFS</v>
      </c>
      <c r="D34" s="14">
        <v>43568</v>
      </c>
      <c r="E34" s="14">
        <v>43646</v>
      </c>
      <c r="F34" s="18">
        <f t="shared" si="3"/>
        <v>78</v>
      </c>
      <c r="G34" s="15">
        <v>37155470</v>
      </c>
      <c r="H34" s="10" t="s">
        <v>27</v>
      </c>
      <c r="I34" s="10">
        <v>3</v>
      </c>
      <c r="J34" s="10" t="s">
        <v>77</v>
      </c>
      <c r="K34" s="10">
        <v>90</v>
      </c>
      <c r="P34" s="38" t="str">
        <f t="shared" si="0"/>
        <v>5002</v>
      </c>
      <c r="Q34" s="10">
        <f t="shared" si="1"/>
        <v>0</v>
      </c>
    </row>
    <row r="35" spans="1:17" x14ac:dyDescent="0.25">
      <c r="A35" s="4" t="s">
        <v>184</v>
      </c>
      <c r="B35" s="17" t="str">
        <f>VLOOKUP(A35, quota_order_numbers2,5, FALSE)</f>
        <v>122 Non preferential tariff quota</v>
      </c>
      <c r="C35" s="17" t="str">
        <f t="shared" si="2"/>
        <v>FCFS</v>
      </c>
      <c r="D35" s="14">
        <v>43568</v>
      </c>
      <c r="E35" s="14">
        <v>43646</v>
      </c>
      <c r="F35" s="18">
        <f t="shared" si="3"/>
        <v>78</v>
      </c>
      <c r="G35" s="15">
        <v>15873340</v>
      </c>
      <c r="H35" s="10" t="s">
        <v>27</v>
      </c>
      <c r="I35" s="10">
        <v>3</v>
      </c>
      <c r="J35" s="10" t="s">
        <v>77</v>
      </c>
      <c r="K35" s="10">
        <v>90</v>
      </c>
      <c r="P35" s="38" t="str">
        <f t="shared" si="0"/>
        <v>TR</v>
      </c>
      <c r="Q35" s="10">
        <f t="shared" si="1"/>
        <v>0</v>
      </c>
    </row>
    <row r="36" spans="1:17" x14ac:dyDescent="0.25">
      <c r="A36" s="4" t="s">
        <v>185</v>
      </c>
      <c r="B36" s="17" t="str">
        <f>VLOOKUP(A36, quota_order_numbers2,5, FALSE)</f>
        <v>122 Non preferential tariff quota</v>
      </c>
      <c r="C36" s="17" t="str">
        <f t="shared" si="2"/>
        <v>FCFS</v>
      </c>
      <c r="D36" s="14">
        <v>43568</v>
      </c>
      <c r="E36" s="14">
        <v>43646</v>
      </c>
      <c r="F36" s="18">
        <f t="shared" si="3"/>
        <v>78</v>
      </c>
      <c r="G36" s="15">
        <v>10981170</v>
      </c>
      <c r="H36" s="10" t="s">
        <v>27</v>
      </c>
      <c r="I36" s="10">
        <v>3</v>
      </c>
      <c r="J36" s="10" t="s">
        <v>77</v>
      </c>
      <c r="K36" s="10">
        <v>90</v>
      </c>
      <c r="P36" s="38" t="str">
        <f t="shared" si="0"/>
        <v>UA</v>
      </c>
      <c r="Q36" s="10">
        <f t="shared" si="1"/>
        <v>0</v>
      </c>
    </row>
    <row r="37" spans="1:17" x14ac:dyDescent="0.25">
      <c r="A37" s="4" t="s">
        <v>118</v>
      </c>
      <c r="B37" s="17" t="str">
        <f>VLOOKUP(A37, quota_order_numbers2,5, FALSE)</f>
        <v>122 Non preferential tariff quota</v>
      </c>
      <c r="C37" s="17" t="str">
        <f t="shared" si="2"/>
        <v>FCFS</v>
      </c>
      <c r="D37" s="14">
        <v>43568</v>
      </c>
      <c r="E37" s="14">
        <v>43646</v>
      </c>
      <c r="F37" s="18">
        <f t="shared" si="3"/>
        <v>78</v>
      </c>
      <c r="G37" s="15">
        <v>11371700</v>
      </c>
      <c r="H37" s="10" t="s">
        <v>27</v>
      </c>
      <c r="I37" s="10">
        <v>3</v>
      </c>
      <c r="J37" s="10" t="s">
        <v>77</v>
      </c>
      <c r="K37" s="10">
        <v>90</v>
      </c>
      <c r="P37" s="38" t="str">
        <f t="shared" si="0"/>
        <v>EU</v>
      </c>
      <c r="Q37" s="10">
        <f t="shared" si="1"/>
        <v>0</v>
      </c>
    </row>
    <row r="38" spans="1:17" x14ac:dyDescent="0.25">
      <c r="A38" s="4" t="s">
        <v>188</v>
      </c>
      <c r="B38" s="17" t="str">
        <f>VLOOKUP(A38, quota_order_numbers2,5, FALSE)</f>
        <v>122 Non preferential tariff quota</v>
      </c>
      <c r="C38" s="17" t="str">
        <f t="shared" si="2"/>
        <v>FCFS</v>
      </c>
      <c r="D38" s="14">
        <v>43568</v>
      </c>
      <c r="E38" s="14">
        <v>43646</v>
      </c>
      <c r="F38" s="18">
        <f t="shared" si="3"/>
        <v>78</v>
      </c>
      <c r="G38" s="15">
        <v>2380080</v>
      </c>
      <c r="H38" s="10" t="s">
        <v>27</v>
      </c>
      <c r="I38" s="10">
        <v>3</v>
      </c>
      <c r="J38" s="10" t="s">
        <v>77</v>
      </c>
      <c r="K38" s="10">
        <v>90</v>
      </c>
      <c r="P38" s="38" t="str">
        <f t="shared" si="0"/>
        <v>5002</v>
      </c>
      <c r="Q38" s="10">
        <f t="shared" si="1"/>
        <v>0</v>
      </c>
    </row>
    <row r="39" spans="1:17" x14ac:dyDescent="0.25">
      <c r="A39" s="4" t="s">
        <v>119</v>
      </c>
      <c r="B39" s="17" t="str">
        <f>VLOOKUP(A39, quota_order_numbers2,5, FALSE)</f>
        <v>122 Non preferential tariff quota</v>
      </c>
      <c r="C39" s="17" t="str">
        <f t="shared" si="2"/>
        <v>FCFS</v>
      </c>
      <c r="D39" s="14">
        <v>43568</v>
      </c>
      <c r="E39" s="14">
        <v>43646</v>
      </c>
      <c r="F39" s="18">
        <f t="shared" si="3"/>
        <v>78</v>
      </c>
      <c r="G39" s="15">
        <v>226710</v>
      </c>
      <c r="H39" s="10" t="s">
        <v>27</v>
      </c>
      <c r="I39" s="10">
        <v>3</v>
      </c>
      <c r="J39" s="10" t="s">
        <v>77</v>
      </c>
      <c r="K39" s="10">
        <v>90</v>
      </c>
      <c r="P39" s="38" t="str">
        <f t="shared" si="0"/>
        <v>EU</v>
      </c>
      <c r="Q39" s="10">
        <f t="shared" si="1"/>
        <v>0</v>
      </c>
    </row>
    <row r="40" spans="1:17" x14ac:dyDescent="0.25">
      <c r="A40" s="4" t="s">
        <v>191</v>
      </c>
      <c r="B40" s="17" t="str">
        <f>VLOOKUP(A40, quota_order_numbers2,5, FALSE)</f>
        <v>122 Non preferential tariff quota</v>
      </c>
      <c r="C40" s="17" t="str">
        <f t="shared" si="2"/>
        <v>FCFS</v>
      </c>
      <c r="D40" s="14">
        <v>43568</v>
      </c>
      <c r="E40" s="14">
        <v>43646</v>
      </c>
      <c r="F40" s="18">
        <f t="shared" si="3"/>
        <v>78</v>
      </c>
      <c r="G40" s="15">
        <v>25700</v>
      </c>
      <c r="H40" s="10" t="s">
        <v>27</v>
      </c>
      <c r="I40" s="10">
        <v>3</v>
      </c>
      <c r="J40" s="10" t="s">
        <v>77</v>
      </c>
      <c r="K40" s="10">
        <v>90</v>
      </c>
      <c r="P40" s="38" t="str">
        <f t="shared" si="0"/>
        <v>KR</v>
      </c>
      <c r="Q40" s="10">
        <f t="shared" si="1"/>
        <v>0</v>
      </c>
    </row>
    <row r="41" spans="1:17" x14ac:dyDescent="0.25">
      <c r="A41" s="4" t="s">
        <v>192</v>
      </c>
      <c r="B41" s="17" t="str">
        <f>VLOOKUP(A41, quota_order_numbers2,5, FALSE)</f>
        <v>122 Non preferential tariff quota</v>
      </c>
      <c r="C41" s="17" t="str">
        <f t="shared" si="2"/>
        <v>FCFS</v>
      </c>
      <c r="D41" s="14">
        <v>43568</v>
      </c>
      <c r="E41" s="14">
        <v>43646</v>
      </c>
      <c r="F41" s="18">
        <f t="shared" si="3"/>
        <v>78</v>
      </c>
      <c r="G41" s="15">
        <v>17780</v>
      </c>
      <c r="H41" s="10" t="s">
        <v>27</v>
      </c>
      <c r="I41" s="10">
        <v>3</v>
      </c>
      <c r="J41" s="10" t="s">
        <v>77</v>
      </c>
      <c r="K41" s="10">
        <v>90</v>
      </c>
      <c r="P41" s="38" t="str">
        <f t="shared" si="0"/>
        <v>5002</v>
      </c>
      <c r="Q41" s="10">
        <f t="shared" si="1"/>
        <v>0</v>
      </c>
    </row>
    <row r="42" spans="1:17" x14ac:dyDescent="0.25">
      <c r="A42" s="4" t="s">
        <v>190</v>
      </c>
      <c r="B42" s="17" t="str">
        <f>VLOOKUP(A42, quota_order_numbers2,5, FALSE)</f>
        <v>122 Non preferential tariff quota</v>
      </c>
      <c r="C42" s="17" t="str">
        <f t="shared" ref="C42:C77" si="4">IF(LEFT(A42,3)="094","Licensed","FCFS")</f>
        <v>FCFS</v>
      </c>
      <c r="D42" s="14">
        <v>43568</v>
      </c>
      <c r="E42" s="14">
        <v>43646</v>
      </c>
      <c r="F42" s="18">
        <f t="shared" si="3"/>
        <v>78</v>
      </c>
      <c r="G42" s="15">
        <v>57610</v>
      </c>
      <c r="H42" s="10" t="s">
        <v>27</v>
      </c>
      <c r="I42" s="10">
        <v>3</v>
      </c>
      <c r="J42" s="10" t="s">
        <v>77</v>
      </c>
      <c r="K42" s="10">
        <v>90</v>
      </c>
      <c r="P42" s="38" t="str">
        <f t="shared" si="0"/>
        <v>TW</v>
      </c>
      <c r="Q42" s="10">
        <f t="shared" si="1"/>
        <v>0</v>
      </c>
    </row>
    <row r="43" spans="1:17" x14ac:dyDescent="0.25">
      <c r="A43" s="4" t="s">
        <v>120</v>
      </c>
      <c r="B43" s="17" t="str">
        <f>VLOOKUP(A43, quota_order_numbers2,5, FALSE)</f>
        <v>122 Non preferential tariff quota</v>
      </c>
      <c r="C43" s="17" t="str">
        <f t="shared" si="4"/>
        <v>FCFS</v>
      </c>
      <c r="D43" s="14">
        <v>43568</v>
      </c>
      <c r="E43" s="14">
        <v>43646</v>
      </c>
      <c r="F43" s="18">
        <f t="shared" si="3"/>
        <v>78</v>
      </c>
      <c r="G43" s="15">
        <v>34060</v>
      </c>
      <c r="H43" s="10" t="s">
        <v>27</v>
      </c>
      <c r="I43" s="10">
        <v>3</v>
      </c>
      <c r="J43" s="10" t="s">
        <v>77</v>
      </c>
      <c r="K43" s="10">
        <v>90</v>
      </c>
      <c r="P43" s="38" t="str">
        <f t="shared" si="0"/>
        <v>US</v>
      </c>
      <c r="Q43" s="10">
        <f t="shared" si="1"/>
        <v>0</v>
      </c>
    </row>
    <row r="44" spans="1:17" x14ac:dyDescent="0.25">
      <c r="A44" s="4" t="s">
        <v>121</v>
      </c>
      <c r="B44" s="17" t="str">
        <f>VLOOKUP(A44, quota_order_numbers2,5, FALSE)</f>
        <v>122 Non preferential tariff quota</v>
      </c>
      <c r="C44" s="17" t="str">
        <f t="shared" si="4"/>
        <v>FCFS</v>
      </c>
      <c r="D44" s="14">
        <v>43568</v>
      </c>
      <c r="E44" s="14">
        <v>43646</v>
      </c>
      <c r="F44" s="18">
        <f t="shared" si="3"/>
        <v>78</v>
      </c>
      <c r="G44" s="15">
        <v>62263840</v>
      </c>
      <c r="H44" s="10" t="s">
        <v>27</v>
      </c>
      <c r="I44" s="10">
        <v>3</v>
      </c>
      <c r="J44" s="10" t="s">
        <v>77</v>
      </c>
      <c r="K44" s="10">
        <v>90</v>
      </c>
      <c r="P44" s="38" t="str">
        <f t="shared" si="0"/>
        <v>EU</v>
      </c>
      <c r="Q44" s="10">
        <f t="shared" si="1"/>
        <v>0</v>
      </c>
    </row>
    <row r="45" spans="1:17" x14ac:dyDescent="0.25">
      <c r="A45" s="4" t="s">
        <v>194</v>
      </c>
      <c r="B45" s="17" t="str">
        <f>VLOOKUP(A45, quota_order_numbers2,5, FALSE)</f>
        <v>122 Non preferential tariff quota</v>
      </c>
      <c r="C45" s="17" t="str">
        <f t="shared" si="4"/>
        <v>FCFS</v>
      </c>
      <c r="D45" s="14">
        <v>43568</v>
      </c>
      <c r="E45" s="14">
        <v>43646</v>
      </c>
      <c r="F45" s="18">
        <f t="shared" si="3"/>
        <v>78</v>
      </c>
      <c r="G45" s="15">
        <v>3954170</v>
      </c>
      <c r="H45" s="10" t="s">
        <v>27</v>
      </c>
      <c r="I45" s="10">
        <v>3</v>
      </c>
      <c r="J45" s="10" t="s">
        <v>77</v>
      </c>
      <c r="K45" s="10">
        <v>90</v>
      </c>
      <c r="P45" s="38" t="str">
        <f t="shared" si="0"/>
        <v>5002</v>
      </c>
      <c r="Q45" s="10">
        <f t="shared" si="1"/>
        <v>0</v>
      </c>
    </row>
    <row r="46" spans="1:17" x14ac:dyDescent="0.25">
      <c r="A46" s="4" t="s">
        <v>122</v>
      </c>
      <c r="B46" s="17" t="str">
        <f>VLOOKUP(A46, quota_order_numbers2,5, FALSE)</f>
        <v>122 Non preferential tariff quota</v>
      </c>
      <c r="C46" s="17" t="str">
        <f t="shared" si="4"/>
        <v>FCFS</v>
      </c>
      <c r="D46" s="14">
        <v>43568</v>
      </c>
      <c r="E46" s="14">
        <v>43646</v>
      </c>
      <c r="F46" s="18">
        <f t="shared" si="3"/>
        <v>78</v>
      </c>
      <c r="G46" s="15">
        <v>138893220</v>
      </c>
      <c r="H46" s="10" t="s">
        <v>27</v>
      </c>
      <c r="I46" s="10">
        <v>3</v>
      </c>
      <c r="J46" s="10" t="s">
        <v>77</v>
      </c>
      <c r="K46" s="10">
        <v>90</v>
      </c>
      <c r="P46" s="38" t="str">
        <f t="shared" si="0"/>
        <v>EU</v>
      </c>
      <c r="Q46" s="10">
        <f t="shared" si="1"/>
        <v>0</v>
      </c>
    </row>
    <row r="47" spans="1:17" x14ac:dyDescent="0.25">
      <c r="A47" s="4" t="s">
        <v>196</v>
      </c>
      <c r="B47" s="17" t="str">
        <f>VLOOKUP(A47, quota_order_numbers2,5, FALSE)</f>
        <v>122 Non preferential tariff quota</v>
      </c>
      <c r="C47" s="17" t="str">
        <f t="shared" si="4"/>
        <v>FCFS</v>
      </c>
      <c r="D47" s="14">
        <v>43568</v>
      </c>
      <c r="E47" s="14">
        <v>43646</v>
      </c>
      <c r="F47" s="18">
        <f t="shared" si="3"/>
        <v>78</v>
      </c>
      <c r="G47" s="15">
        <v>20586410</v>
      </c>
      <c r="H47" s="10" t="s">
        <v>27</v>
      </c>
      <c r="I47" s="10">
        <v>3</v>
      </c>
      <c r="J47" s="10" t="s">
        <v>77</v>
      </c>
      <c r="K47" s="10">
        <v>90</v>
      </c>
      <c r="P47" s="38" t="str">
        <f t="shared" si="0"/>
        <v>5002</v>
      </c>
      <c r="Q47" s="10">
        <f t="shared" si="1"/>
        <v>0</v>
      </c>
    </row>
    <row r="48" spans="1:17" x14ac:dyDescent="0.25">
      <c r="A48" s="4" t="s">
        <v>198</v>
      </c>
      <c r="B48" s="17" t="str">
        <f>VLOOKUP(A48, quota_order_numbers2,5, FALSE)</f>
        <v>122 Non preferential tariff quota</v>
      </c>
      <c r="C48" s="17" t="str">
        <f t="shared" si="4"/>
        <v>FCFS</v>
      </c>
      <c r="D48" s="14">
        <v>43568</v>
      </c>
      <c r="E48" s="14">
        <v>43646</v>
      </c>
      <c r="F48" s="18">
        <f t="shared" si="3"/>
        <v>78</v>
      </c>
      <c r="G48" s="15">
        <v>374650</v>
      </c>
      <c r="H48" s="10" t="s">
        <v>27</v>
      </c>
      <c r="I48" s="10">
        <v>3</v>
      </c>
      <c r="J48" s="10" t="s">
        <v>77</v>
      </c>
      <c r="K48" s="10">
        <v>90</v>
      </c>
      <c r="P48" s="38" t="str">
        <f t="shared" si="0"/>
        <v>CN</v>
      </c>
      <c r="Q48" s="10">
        <f t="shared" si="1"/>
        <v>0</v>
      </c>
    </row>
    <row r="49" spans="1:17" x14ac:dyDescent="0.25">
      <c r="A49" s="4" t="s">
        <v>123</v>
      </c>
      <c r="B49" s="17" t="str">
        <f>VLOOKUP(A49, quota_order_numbers2,5, FALSE)</f>
        <v>122 Non preferential tariff quota</v>
      </c>
      <c r="C49" s="17" t="str">
        <f t="shared" si="4"/>
        <v>FCFS</v>
      </c>
      <c r="D49" s="14">
        <v>43568</v>
      </c>
      <c r="E49" s="14">
        <v>43646</v>
      </c>
      <c r="F49" s="18">
        <f t="shared" si="3"/>
        <v>78</v>
      </c>
      <c r="G49" s="15">
        <v>1296770</v>
      </c>
      <c r="H49" s="10" t="s">
        <v>27</v>
      </c>
      <c r="I49" s="10">
        <v>3</v>
      </c>
      <c r="J49" s="10" t="s">
        <v>77</v>
      </c>
      <c r="K49" s="10">
        <v>90</v>
      </c>
      <c r="P49" s="38" t="str">
        <f t="shared" si="0"/>
        <v>EU</v>
      </c>
      <c r="Q49" s="10">
        <f t="shared" si="1"/>
        <v>0</v>
      </c>
    </row>
    <row r="50" spans="1:17" x14ac:dyDescent="0.25">
      <c r="A50" s="4" t="s">
        <v>199</v>
      </c>
      <c r="B50" s="17" t="str">
        <f>VLOOKUP(A50, quota_order_numbers2,5, FALSE)</f>
        <v>122 Non preferential tariff quota</v>
      </c>
      <c r="C50" s="17" t="str">
        <f t="shared" si="4"/>
        <v>FCFS</v>
      </c>
      <c r="D50" s="14">
        <v>43568</v>
      </c>
      <c r="E50" s="14">
        <v>43646</v>
      </c>
      <c r="F50" s="18">
        <f t="shared" si="3"/>
        <v>78</v>
      </c>
      <c r="G50" s="15">
        <v>43770</v>
      </c>
      <c r="H50" s="10" t="s">
        <v>27</v>
      </c>
      <c r="I50" s="10">
        <v>3</v>
      </c>
      <c r="J50" s="10" t="s">
        <v>77</v>
      </c>
      <c r="K50" s="10">
        <v>90</v>
      </c>
      <c r="P50" s="38" t="str">
        <f t="shared" si="0"/>
        <v>5002</v>
      </c>
      <c r="Q50" s="10">
        <f t="shared" si="1"/>
        <v>0</v>
      </c>
    </row>
    <row r="51" spans="1:17" x14ac:dyDescent="0.25">
      <c r="A51" s="4" t="s">
        <v>124</v>
      </c>
      <c r="B51" s="17" t="str">
        <f>VLOOKUP(A51, quota_order_numbers2,5, FALSE)</f>
        <v>122 Non preferential tariff quota</v>
      </c>
      <c r="C51" s="17" t="str">
        <f t="shared" si="4"/>
        <v>FCFS</v>
      </c>
      <c r="D51" s="14">
        <v>43568</v>
      </c>
      <c r="E51" s="14">
        <v>43646</v>
      </c>
      <c r="F51" s="18">
        <f t="shared" si="3"/>
        <v>78</v>
      </c>
      <c r="G51" s="15">
        <v>6512360</v>
      </c>
      <c r="H51" s="10" t="s">
        <v>27</v>
      </c>
      <c r="I51" s="10">
        <v>3</v>
      </c>
      <c r="J51" s="10" t="s">
        <v>77</v>
      </c>
      <c r="K51" s="10">
        <v>90</v>
      </c>
      <c r="P51" s="38" t="str">
        <f t="shared" si="0"/>
        <v>EU</v>
      </c>
      <c r="Q51" s="10">
        <f t="shared" si="1"/>
        <v>0</v>
      </c>
    </row>
    <row r="52" spans="1:17" x14ac:dyDescent="0.25">
      <c r="A52" s="4" t="s">
        <v>229</v>
      </c>
      <c r="B52" s="17" t="str">
        <f>VLOOKUP(A52, quota_order_numbers2,5, FALSE)</f>
        <v>122 Non preferential tariff quota</v>
      </c>
      <c r="C52" s="17" t="str">
        <f t="shared" si="4"/>
        <v>FCFS</v>
      </c>
      <c r="D52" s="14">
        <v>43568</v>
      </c>
      <c r="E52" s="14">
        <v>43646</v>
      </c>
      <c r="F52" s="18">
        <f t="shared" ref="F52:F77" si="5">DATEDIF(D52, E52, "d")</f>
        <v>78</v>
      </c>
      <c r="G52" s="15">
        <v>3880270</v>
      </c>
      <c r="H52" s="10" t="s">
        <v>27</v>
      </c>
      <c r="I52" s="10">
        <v>3</v>
      </c>
      <c r="J52" s="10" t="s">
        <v>77</v>
      </c>
      <c r="K52" s="10">
        <v>90</v>
      </c>
      <c r="P52" s="38" t="str">
        <f t="shared" si="0"/>
        <v>IN</v>
      </c>
      <c r="Q52" s="10">
        <f t="shared" si="1"/>
        <v>0</v>
      </c>
    </row>
    <row r="53" spans="1:17" x14ac:dyDescent="0.25">
      <c r="A53" s="4" t="s">
        <v>201</v>
      </c>
      <c r="B53" s="17" t="str">
        <f>VLOOKUP(A53, quota_order_numbers2,5, FALSE)</f>
        <v>122 Non preferential tariff quota</v>
      </c>
      <c r="C53" s="17" t="str">
        <f t="shared" si="4"/>
        <v>FCFS</v>
      </c>
      <c r="D53" s="14">
        <v>43568</v>
      </c>
      <c r="E53" s="14">
        <v>43646</v>
      </c>
      <c r="F53" s="18">
        <f t="shared" si="5"/>
        <v>78</v>
      </c>
      <c r="G53" s="15">
        <v>1464520</v>
      </c>
      <c r="H53" s="10" t="s">
        <v>27</v>
      </c>
      <c r="I53" s="10">
        <v>3</v>
      </c>
      <c r="J53" s="10" t="s">
        <v>77</v>
      </c>
      <c r="K53" s="10">
        <v>90</v>
      </c>
      <c r="P53" s="38" t="str">
        <f t="shared" si="0"/>
        <v>5002</v>
      </c>
      <c r="Q53" s="10">
        <f t="shared" si="1"/>
        <v>0</v>
      </c>
    </row>
    <row r="54" spans="1:17" x14ac:dyDescent="0.25">
      <c r="A54" s="4" t="s">
        <v>200</v>
      </c>
      <c r="B54" s="17" t="str">
        <f>VLOOKUP(A54, quota_order_numbers2,5, FALSE)</f>
        <v>122 Non preferential tariff quota</v>
      </c>
      <c r="C54" s="17" t="str">
        <f t="shared" si="4"/>
        <v>FCFS</v>
      </c>
      <c r="D54" s="14">
        <v>43568</v>
      </c>
      <c r="E54" s="14">
        <v>43646</v>
      </c>
      <c r="F54" s="18">
        <f t="shared" si="5"/>
        <v>78</v>
      </c>
      <c r="G54" s="15">
        <v>13175920</v>
      </c>
      <c r="H54" s="10" t="s">
        <v>27</v>
      </c>
      <c r="I54" s="10">
        <v>3</v>
      </c>
      <c r="J54" s="10" t="s">
        <v>77</v>
      </c>
      <c r="K54" s="10">
        <v>90</v>
      </c>
      <c r="P54" s="38" t="str">
        <f t="shared" si="0"/>
        <v>TR</v>
      </c>
      <c r="Q54" s="10">
        <f t="shared" si="1"/>
        <v>0</v>
      </c>
    </row>
    <row r="55" spans="1:17" x14ac:dyDescent="0.25">
      <c r="A55" s="4" t="s">
        <v>125</v>
      </c>
      <c r="B55" s="17" t="str">
        <f>VLOOKUP(A55, quota_order_numbers2,5, FALSE)</f>
        <v>122 Non preferential tariff quota</v>
      </c>
      <c r="C55" s="17" t="str">
        <f t="shared" si="4"/>
        <v>FCFS</v>
      </c>
      <c r="D55" s="14">
        <v>43568</v>
      </c>
      <c r="E55" s="14">
        <v>43646</v>
      </c>
      <c r="F55" s="18">
        <f t="shared" si="5"/>
        <v>78</v>
      </c>
      <c r="G55" s="15">
        <v>10680940</v>
      </c>
      <c r="H55" s="10" t="s">
        <v>27</v>
      </c>
      <c r="I55" s="10">
        <v>3</v>
      </c>
      <c r="J55" s="10" t="s">
        <v>77</v>
      </c>
      <c r="K55" s="10">
        <v>90</v>
      </c>
      <c r="P55" s="38" t="str">
        <f t="shared" si="0"/>
        <v>EU</v>
      </c>
      <c r="Q55" s="10">
        <f t="shared" si="1"/>
        <v>0</v>
      </c>
    </row>
    <row r="56" spans="1:17" x14ac:dyDescent="0.25">
      <c r="A56" s="4" t="s">
        <v>204</v>
      </c>
      <c r="B56" s="17" t="str">
        <f>VLOOKUP(A56, quota_order_numbers2,5, FALSE)</f>
        <v>122 Non preferential tariff quota</v>
      </c>
      <c r="C56" s="17" t="str">
        <f t="shared" si="4"/>
        <v>FCFS</v>
      </c>
      <c r="D56" s="14">
        <v>43568</v>
      </c>
      <c r="E56" s="14">
        <v>43646</v>
      </c>
      <c r="F56" s="18">
        <f t="shared" si="5"/>
        <v>78</v>
      </c>
      <c r="G56" s="15">
        <v>1848630</v>
      </c>
      <c r="H56" s="10" t="s">
        <v>27</v>
      </c>
      <c r="I56" s="10">
        <v>3</v>
      </c>
      <c r="J56" s="10" t="s">
        <v>77</v>
      </c>
      <c r="K56" s="10">
        <v>90</v>
      </c>
      <c r="P56" s="38" t="str">
        <f t="shared" si="0"/>
        <v>5002</v>
      </c>
      <c r="Q56" s="10">
        <f t="shared" si="1"/>
        <v>0</v>
      </c>
    </row>
    <row r="57" spans="1:17" x14ac:dyDescent="0.25">
      <c r="A57" s="4" t="s">
        <v>203</v>
      </c>
      <c r="B57" s="17" t="str">
        <f>VLOOKUP(A57, quota_order_numbers2,5, FALSE)</f>
        <v>122 Non preferential tariff quota</v>
      </c>
      <c r="C57" s="17" t="str">
        <f t="shared" si="4"/>
        <v>FCFS</v>
      </c>
      <c r="D57" s="14">
        <v>43568</v>
      </c>
      <c r="E57" s="14">
        <v>43646</v>
      </c>
      <c r="F57" s="18">
        <f t="shared" si="5"/>
        <v>78</v>
      </c>
      <c r="G57" s="15">
        <v>31545100</v>
      </c>
      <c r="H57" s="10" t="s">
        <v>27</v>
      </c>
      <c r="I57" s="10">
        <v>3</v>
      </c>
      <c r="J57" s="10" t="s">
        <v>77</v>
      </c>
      <c r="K57" s="10">
        <v>90</v>
      </c>
      <c r="P57" s="38" t="str">
        <f t="shared" si="0"/>
        <v>TR</v>
      </c>
      <c r="Q57" s="10">
        <f t="shared" si="1"/>
        <v>0</v>
      </c>
    </row>
    <row r="58" spans="1:17" x14ac:dyDescent="0.25">
      <c r="A58" s="4" t="s">
        <v>126</v>
      </c>
      <c r="B58" s="17" t="str">
        <f>VLOOKUP(A58, quota_order_numbers2,5, FALSE)</f>
        <v>122 Non preferential tariff quota</v>
      </c>
      <c r="C58" s="17" t="str">
        <f t="shared" si="4"/>
        <v>FCFS</v>
      </c>
      <c r="D58" s="14">
        <v>43568</v>
      </c>
      <c r="E58" s="14">
        <v>43646</v>
      </c>
      <c r="F58" s="18">
        <f t="shared" si="5"/>
        <v>78</v>
      </c>
      <c r="G58" s="15">
        <v>30386560</v>
      </c>
      <c r="H58" s="10" t="s">
        <v>27</v>
      </c>
      <c r="I58" s="10">
        <v>3</v>
      </c>
      <c r="J58" s="10" t="s">
        <v>77</v>
      </c>
      <c r="K58" s="10">
        <v>90</v>
      </c>
      <c r="P58" s="38" t="str">
        <f t="shared" si="0"/>
        <v>EU</v>
      </c>
      <c r="Q58" s="10">
        <f t="shared" si="1"/>
        <v>0</v>
      </c>
    </row>
    <row r="59" spans="1:17" x14ac:dyDescent="0.25">
      <c r="A59" s="4" t="s">
        <v>128</v>
      </c>
      <c r="B59" s="17" t="str">
        <f>VLOOKUP(A59, quota_order_numbers2,5, FALSE)</f>
        <v>122 Non preferential tariff quota</v>
      </c>
      <c r="C59" s="17" t="str">
        <f t="shared" si="4"/>
        <v>FCFS</v>
      </c>
      <c r="D59" s="14">
        <v>43568</v>
      </c>
      <c r="E59" s="14">
        <v>43646</v>
      </c>
      <c r="F59" s="18">
        <f t="shared" si="5"/>
        <v>78</v>
      </c>
      <c r="G59" s="15">
        <v>2134500</v>
      </c>
      <c r="H59" s="10" t="s">
        <v>27</v>
      </c>
      <c r="I59" s="10">
        <v>3</v>
      </c>
      <c r="J59" s="10" t="s">
        <v>77</v>
      </c>
      <c r="K59" s="10">
        <v>90</v>
      </c>
      <c r="P59" s="38" t="str">
        <f t="shared" si="0"/>
        <v>JP</v>
      </c>
      <c r="Q59" s="10">
        <f t="shared" si="1"/>
        <v>0</v>
      </c>
    </row>
    <row r="60" spans="1:17" x14ac:dyDescent="0.25">
      <c r="A60" s="4" t="s">
        <v>127</v>
      </c>
      <c r="B60" s="17" t="str">
        <f>VLOOKUP(A60, quota_order_numbers2,5, FALSE)</f>
        <v>122 Non preferential tariff quota</v>
      </c>
      <c r="C60" s="17" t="str">
        <f t="shared" si="4"/>
        <v>FCFS</v>
      </c>
      <c r="D60" s="14">
        <v>43568</v>
      </c>
      <c r="E60" s="14">
        <v>43646</v>
      </c>
      <c r="F60" s="18">
        <f t="shared" si="5"/>
        <v>78</v>
      </c>
      <c r="G60" s="15">
        <v>2425210</v>
      </c>
      <c r="H60" s="10" t="s">
        <v>27</v>
      </c>
      <c r="I60" s="10">
        <v>3</v>
      </c>
      <c r="J60" s="10" t="s">
        <v>77</v>
      </c>
      <c r="K60" s="10">
        <v>90</v>
      </c>
      <c r="P60" s="38" t="str">
        <f t="shared" si="0"/>
        <v>KR</v>
      </c>
      <c r="Q60" s="10">
        <f t="shared" si="1"/>
        <v>0</v>
      </c>
    </row>
    <row r="61" spans="1:17" x14ac:dyDescent="0.25">
      <c r="A61" s="4" t="s">
        <v>205</v>
      </c>
      <c r="B61" s="17" t="str">
        <f>VLOOKUP(A61, quota_order_numbers2,5, FALSE)</f>
        <v>122 Non preferential tariff quota</v>
      </c>
      <c r="C61" s="17" t="str">
        <f t="shared" si="4"/>
        <v>FCFS</v>
      </c>
      <c r="D61" s="14">
        <v>43568</v>
      </c>
      <c r="E61" s="14">
        <v>43646</v>
      </c>
      <c r="F61" s="18">
        <f t="shared" si="5"/>
        <v>78</v>
      </c>
      <c r="G61" s="15">
        <v>4026390</v>
      </c>
      <c r="H61" s="10" t="s">
        <v>27</v>
      </c>
      <c r="I61" s="10">
        <v>3</v>
      </c>
      <c r="J61" s="10" t="s">
        <v>77</v>
      </c>
      <c r="K61" s="10">
        <v>90</v>
      </c>
      <c r="P61" s="38" t="str">
        <f t="shared" si="0"/>
        <v>5002</v>
      </c>
      <c r="Q61" s="10">
        <f t="shared" si="1"/>
        <v>0</v>
      </c>
    </row>
    <row r="62" spans="1:17" x14ac:dyDescent="0.25">
      <c r="A62" s="4" t="s">
        <v>209</v>
      </c>
      <c r="B62" s="17" t="str">
        <f>VLOOKUP(A62, quota_order_numbers2,5, FALSE)</f>
        <v>122 Non preferential tariff quota</v>
      </c>
      <c r="C62" s="17" t="str">
        <f t="shared" si="4"/>
        <v>FCFS</v>
      </c>
      <c r="D62" s="14">
        <v>43568</v>
      </c>
      <c r="E62" s="14">
        <v>43646</v>
      </c>
      <c r="F62" s="18">
        <f t="shared" si="5"/>
        <v>78</v>
      </c>
      <c r="G62" s="15">
        <v>4872210</v>
      </c>
      <c r="H62" s="10" t="s">
        <v>27</v>
      </c>
      <c r="I62" s="10">
        <v>3</v>
      </c>
      <c r="J62" s="10" t="s">
        <v>77</v>
      </c>
      <c r="K62" s="10">
        <v>90</v>
      </c>
      <c r="P62" s="38" t="str">
        <f t="shared" si="0"/>
        <v>CN</v>
      </c>
      <c r="Q62" s="10">
        <f t="shared" si="1"/>
        <v>0</v>
      </c>
    </row>
    <row r="63" spans="1:17" x14ac:dyDescent="0.25">
      <c r="A63" s="4" t="s">
        <v>129</v>
      </c>
      <c r="B63" s="17" t="str">
        <f>VLOOKUP(A63, quota_order_numbers2,5, FALSE)</f>
        <v>122 Non preferential tariff quota</v>
      </c>
      <c r="C63" s="17" t="str">
        <f t="shared" si="4"/>
        <v>FCFS</v>
      </c>
      <c r="D63" s="14">
        <v>43568</v>
      </c>
      <c r="E63" s="14">
        <v>43646</v>
      </c>
      <c r="F63" s="18">
        <f t="shared" si="5"/>
        <v>78</v>
      </c>
      <c r="G63" s="15">
        <v>19216160</v>
      </c>
      <c r="H63" s="10" t="s">
        <v>27</v>
      </c>
      <c r="I63" s="10">
        <v>3</v>
      </c>
      <c r="J63" s="10" t="s">
        <v>77</v>
      </c>
      <c r="K63" s="10">
        <v>90</v>
      </c>
      <c r="P63" s="38" t="str">
        <f t="shared" si="0"/>
        <v>EU</v>
      </c>
      <c r="Q63" s="10">
        <f t="shared" si="1"/>
        <v>0</v>
      </c>
    </row>
    <row r="64" spans="1:17" x14ac:dyDescent="0.25">
      <c r="A64" s="4" t="s">
        <v>130</v>
      </c>
      <c r="B64" s="17" t="str">
        <f>VLOOKUP(A64, quota_order_numbers2,5, FALSE)</f>
        <v>122 Non preferential tariff quota</v>
      </c>
      <c r="C64" s="17" t="str">
        <f t="shared" si="4"/>
        <v>FCFS</v>
      </c>
      <c r="D64" s="14">
        <v>43568</v>
      </c>
      <c r="E64" s="14">
        <v>43646</v>
      </c>
      <c r="F64" s="18">
        <f t="shared" si="5"/>
        <v>78</v>
      </c>
      <c r="G64" s="15">
        <v>5817780</v>
      </c>
      <c r="H64" s="10" t="s">
        <v>27</v>
      </c>
      <c r="I64" s="10">
        <v>3</v>
      </c>
      <c r="J64" s="10" t="s">
        <v>77</v>
      </c>
      <c r="K64" s="10">
        <v>90</v>
      </c>
      <c r="P64" s="38" t="str">
        <f t="shared" si="0"/>
        <v>NO</v>
      </c>
      <c r="Q64" s="10">
        <f t="shared" si="1"/>
        <v>0</v>
      </c>
    </row>
    <row r="65" spans="1:17" x14ac:dyDescent="0.25">
      <c r="A65" s="4" t="s">
        <v>210</v>
      </c>
      <c r="B65" s="17" t="str">
        <f>VLOOKUP(A65, quota_order_numbers2,5, FALSE)</f>
        <v>122 Non preferential tariff quota</v>
      </c>
      <c r="C65" s="17" t="str">
        <f t="shared" si="4"/>
        <v>FCFS</v>
      </c>
      <c r="D65" s="14">
        <v>43568</v>
      </c>
      <c r="E65" s="14">
        <v>43646</v>
      </c>
      <c r="F65" s="18">
        <f t="shared" si="5"/>
        <v>78</v>
      </c>
      <c r="G65" s="15">
        <v>6317830</v>
      </c>
      <c r="H65" s="10" t="s">
        <v>27</v>
      </c>
      <c r="I65" s="10">
        <v>3</v>
      </c>
      <c r="J65" s="10" t="s">
        <v>77</v>
      </c>
      <c r="K65" s="10">
        <v>90</v>
      </c>
      <c r="P65" s="38" t="str">
        <f t="shared" si="0"/>
        <v>5002</v>
      </c>
      <c r="Q65" s="10">
        <f t="shared" si="1"/>
        <v>0</v>
      </c>
    </row>
    <row r="66" spans="1:17" x14ac:dyDescent="0.25">
      <c r="A66" s="4" t="s">
        <v>208</v>
      </c>
      <c r="B66" s="17" t="str">
        <f>VLOOKUP(A66, quota_order_numbers2,5, FALSE)</f>
        <v>122 Non preferential tariff quota</v>
      </c>
      <c r="C66" s="17" t="str">
        <f t="shared" si="4"/>
        <v>FCFS</v>
      </c>
      <c r="D66" s="14">
        <v>43568</v>
      </c>
      <c r="E66" s="14">
        <v>43646</v>
      </c>
      <c r="F66" s="18">
        <f t="shared" si="5"/>
        <v>78</v>
      </c>
      <c r="G66" s="15">
        <v>7565220</v>
      </c>
      <c r="H66" s="10" t="s">
        <v>27</v>
      </c>
      <c r="I66" s="10">
        <v>3</v>
      </c>
      <c r="J66" s="10" t="s">
        <v>77</v>
      </c>
      <c r="K66" s="10">
        <v>90</v>
      </c>
      <c r="P66" s="38" t="str">
        <f t="shared" ref="P66:P77" si="6">VLOOKUP(A66, quota_order_numbers2, 6, FALSE)</f>
        <v>TR</v>
      </c>
      <c r="Q66" s="10">
        <f t="shared" ref="Q66:Q77" si="7">VLOOKUP(A66, quota_order_numbers2, 2, FALSE)</f>
        <v>0</v>
      </c>
    </row>
    <row r="67" spans="1:17" x14ac:dyDescent="0.25">
      <c r="A67" s="4" t="s">
        <v>207</v>
      </c>
      <c r="B67" s="17" t="str">
        <f>VLOOKUP(A67, quota_order_numbers2,5, FALSE)</f>
        <v>122 Non preferential tariff quota</v>
      </c>
      <c r="C67" s="17" t="str">
        <f t="shared" si="4"/>
        <v>FCFS</v>
      </c>
      <c r="D67" s="14">
        <v>43568</v>
      </c>
      <c r="E67" s="14">
        <v>43646</v>
      </c>
      <c r="F67" s="18">
        <f t="shared" si="5"/>
        <v>78</v>
      </c>
      <c r="G67" s="15">
        <v>11415220</v>
      </c>
      <c r="H67" s="10" t="s">
        <v>27</v>
      </c>
      <c r="I67" s="10">
        <v>3</v>
      </c>
      <c r="J67" s="10" t="s">
        <v>77</v>
      </c>
      <c r="K67" s="10">
        <v>90</v>
      </c>
      <c r="P67" s="38" t="str">
        <f t="shared" si="6"/>
        <v>AE</v>
      </c>
      <c r="Q67" s="10">
        <f t="shared" si="7"/>
        <v>0</v>
      </c>
    </row>
    <row r="68" spans="1:17" x14ac:dyDescent="0.25">
      <c r="A68" s="4" t="s">
        <v>131</v>
      </c>
      <c r="B68" s="17" t="str">
        <f>VLOOKUP(A68, quota_order_numbers2,5, FALSE)</f>
        <v>122 Non preferential tariff quota</v>
      </c>
      <c r="C68" s="17" t="str">
        <f t="shared" si="4"/>
        <v>FCFS</v>
      </c>
      <c r="D68" s="14">
        <v>43568</v>
      </c>
      <c r="E68" s="14">
        <v>43646</v>
      </c>
      <c r="F68" s="18">
        <f t="shared" si="5"/>
        <v>78</v>
      </c>
      <c r="G68" s="15">
        <v>6958210</v>
      </c>
      <c r="H68" s="10" t="s">
        <v>27</v>
      </c>
      <c r="I68" s="10">
        <v>3</v>
      </c>
      <c r="J68" s="10" t="s">
        <v>77</v>
      </c>
      <c r="K68" s="10">
        <v>90</v>
      </c>
      <c r="P68" s="38" t="str">
        <f t="shared" si="6"/>
        <v>EU</v>
      </c>
      <c r="Q68" s="10">
        <f t="shared" si="7"/>
        <v>0</v>
      </c>
    </row>
    <row r="69" spans="1:17" x14ac:dyDescent="0.25">
      <c r="A69" s="4" t="s">
        <v>214</v>
      </c>
      <c r="B69" s="17" t="str">
        <f>VLOOKUP(A69, quota_order_numbers2,5, FALSE)</f>
        <v>122 Non preferential tariff quota</v>
      </c>
      <c r="C69" s="17" t="str">
        <f t="shared" si="4"/>
        <v>FCFS</v>
      </c>
      <c r="D69" s="14">
        <v>43568</v>
      </c>
      <c r="E69" s="14">
        <v>43646</v>
      </c>
      <c r="F69" s="18">
        <f t="shared" si="5"/>
        <v>78</v>
      </c>
      <c r="G69" s="15">
        <v>595450</v>
      </c>
      <c r="H69" s="10" t="s">
        <v>27</v>
      </c>
      <c r="I69" s="10">
        <v>3</v>
      </c>
      <c r="J69" s="10" t="s">
        <v>77</v>
      </c>
      <c r="K69" s="10">
        <v>90</v>
      </c>
      <c r="P69" s="38" t="str">
        <f t="shared" si="6"/>
        <v>5002</v>
      </c>
      <c r="Q69" s="10">
        <f t="shared" si="7"/>
        <v>0</v>
      </c>
    </row>
    <row r="70" spans="1:17" x14ac:dyDescent="0.25">
      <c r="A70" s="4" t="s">
        <v>212</v>
      </c>
      <c r="B70" s="17" t="str">
        <f>VLOOKUP(A70, quota_order_numbers2,5, FALSE)</f>
        <v>122 Non preferential tariff quota</v>
      </c>
      <c r="C70" s="17" t="str">
        <f t="shared" si="4"/>
        <v>FCFS</v>
      </c>
      <c r="D70" s="14">
        <v>43568</v>
      </c>
      <c r="E70" s="14">
        <v>43646</v>
      </c>
      <c r="F70" s="18">
        <f t="shared" si="5"/>
        <v>78</v>
      </c>
      <c r="G70" s="15">
        <v>695200</v>
      </c>
      <c r="H70" s="10" t="s">
        <v>27</v>
      </c>
      <c r="I70" s="10">
        <v>3</v>
      </c>
      <c r="J70" s="10" t="s">
        <v>77</v>
      </c>
      <c r="K70" s="10">
        <v>90</v>
      </c>
      <c r="P70" s="38" t="str">
        <f t="shared" si="6"/>
        <v>RU</v>
      </c>
      <c r="Q70" s="10">
        <f t="shared" si="7"/>
        <v>0</v>
      </c>
    </row>
    <row r="71" spans="1:17" x14ac:dyDescent="0.25">
      <c r="A71" s="4" t="s">
        <v>132</v>
      </c>
      <c r="B71" s="17" t="str">
        <f>VLOOKUP(A71, quota_order_numbers2,5, FALSE)</f>
        <v>122 Non preferential tariff quota</v>
      </c>
      <c r="C71" s="17" t="str">
        <f t="shared" si="4"/>
        <v>FCFS</v>
      </c>
      <c r="D71" s="14">
        <v>43568</v>
      </c>
      <c r="E71" s="14">
        <v>43646</v>
      </c>
      <c r="F71" s="18">
        <f t="shared" si="5"/>
        <v>78</v>
      </c>
      <c r="G71" s="15">
        <v>1335720</v>
      </c>
      <c r="H71" s="10" t="s">
        <v>27</v>
      </c>
      <c r="I71" s="10">
        <v>3</v>
      </c>
      <c r="J71" s="10" t="s">
        <v>77</v>
      </c>
      <c r="K71" s="10">
        <v>90</v>
      </c>
      <c r="P71" s="38" t="str">
        <f t="shared" si="6"/>
        <v>TR</v>
      </c>
      <c r="Q71" s="10">
        <f t="shared" si="7"/>
        <v>0</v>
      </c>
    </row>
    <row r="72" spans="1:17" x14ac:dyDescent="0.25">
      <c r="A72" s="4" t="s">
        <v>216</v>
      </c>
      <c r="B72" s="17" t="str">
        <f>VLOOKUP(A72, quota_order_numbers2,5, FALSE)</f>
        <v>122 Non preferential tariff quota</v>
      </c>
      <c r="C72" s="17" t="str">
        <f t="shared" si="4"/>
        <v>FCFS</v>
      </c>
      <c r="D72" s="14">
        <v>43568</v>
      </c>
      <c r="E72" s="14">
        <v>43646</v>
      </c>
      <c r="F72" s="18">
        <f t="shared" si="5"/>
        <v>78</v>
      </c>
      <c r="G72" s="15">
        <v>2842060</v>
      </c>
      <c r="H72" s="10" t="s">
        <v>27</v>
      </c>
      <c r="I72" s="10">
        <v>3</v>
      </c>
      <c r="J72" s="10" t="s">
        <v>77</v>
      </c>
      <c r="K72" s="10">
        <v>90</v>
      </c>
      <c r="P72" s="38" t="str">
        <f t="shared" si="6"/>
        <v>CN</v>
      </c>
      <c r="Q72" s="10">
        <f t="shared" si="7"/>
        <v>0</v>
      </c>
    </row>
    <row r="73" spans="1:17" x14ac:dyDescent="0.25">
      <c r="A73" s="4" t="s">
        <v>133</v>
      </c>
      <c r="B73" s="17" t="str">
        <f>VLOOKUP(A73, quota_order_numbers2,5, FALSE)</f>
        <v>122 Non preferential tariff quota</v>
      </c>
      <c r="C73" s="17" t="str">
        <f t="shared" si="4"/>
        <v>FCFS</v>
      </c>
      <c r="D73" s="14">
        <v>43568</v>
      </c>
      <c r="E73" s="14">
        <v>43646</v>
      </c>
      <c r="F73" s="18">
        <f t="shared" si="5"/>
        <v>78</v>
      </c>
      <c r="G73" s="15">
        <v>24129230</v>
      </c>
      <c r="H73" s="10" t="s">
        <v>27</v>
      </c>
      <c r="I73" s="10">
        <v>3</v>
      </c>
      <c r="J73" s="10" t="s">
        <v>77</v>
      </c>
      <c r="K73" s="10">
        <v>90</v>
      </c>
      <c r="P73" s="38" t="str">
        <f t="shared" si="6"/>
        <v>EU</v>
      </c>
      <c r="Q73" s="10">
        <f t="shared" si="7"/>
        <v>0</v>
      </c>
    </row>
    <row r="74" spans="1:17" x14ac:dyDescent="0.25">
      <c r="A74" s="4" t="s">
        <v>217</v>
      </c>
      <c r="B74" s="17" t="str">
        <f>VLOOKUP(A74, quota_order_numbers2,5, FALSE)</f>
        <v>122 Non preferential tariff quota</v>
      </c>
      <c r="C74" s="17" t="str">
        <f t="shared" si="4"/>
        <v>FCFS</v>
      </c>
      <c r="D74" s="14">
        <v>43568</v>
      </c>
      <c r="E74" s="14">
        <v>43646</v>
      </c>
      <c r="F74" s="18">
        <f t="shared" si="5"/>
        <v>78</v>
      </c>
      <c r="G74" s="15">
        <v>1857010</v>
      </c>
      <c r="H74" s="10" t="s">
        <v>27</v>
      </c>
      <c r="I74" s="10">
        <v>3</v>
      </c>
      <c r="J74" s="10" t="s">
        <v>77</v>
      </c>
      <c r="K74" s="10">
        <v>90</v>
      </c>
      <c r="P74" s="38" t="str">
        <f t="shared" si="6"/>
        <v>5002</v>
      </c>
      <c r="Q74" s="10">
        <f t="shared" si="7"/>
        <v>0</v>
      </c>
    </row>
    <row r="75" spans="1:17" x14ac:dyDescent="0.25">
      <c r="A75" s="4" t="s">
        <v>135</v>
      </c>
      <c r="B75" s="17" t="str">
        <f>VLOOKUP(A75, quota_order_numbers2,5, FALSE)</f>
        <v>122 Non preferential tariff quota</v>
      </c>
      <c r="C75" s="17" t="str">
        <f t="shared" si="4"/>
        <v>FCFS</v>
      </c>
      <c r="D75" s="14">
        <v>43568</v>
      </c>
      <c r="E75" s="14">
        <v>43646</v>
      </c>
      <c r="F75" s="18">
        <f t="shared" si="5"/>
        <v>78</v>
      </c>
      <c r="G75" s="15">
        <v>1910410</v>
      </c>
      <c r="H75" s="10" t="s">
        <v>27</v>
      </c>
      <c r="I75" s="10">
        <v>3</v>
      </c>
      <c r="J75" s="10" t="s">
        <v>77</v>
      </c>
      <c r="K75" s="10">
        <v>90</v>
      </c>
      <c r="P75" s="38" t="str">
        <f t="shared" si="6"/>
        <v>ZA</v>
      </c>
      <c r="Q75" s="10">
        <f t="shared" si="7"/>
        <v>0</v>
      </c>
    </row>
    <row r="76" spans="1:17" x14ac:dyDescent="0.25">
      <c r="A76" s="4" t="s">
        <v>134</v>
      </c>
      <c r="B76" s="17" t="str">
        <f>VLOOKUP(A76, quota_order_numbers2,5, FALSE)</f>
        <v>122 Non preferential tariff quota</v>
      </c>
      <c r="C76" s="17" t="str">
        <f t="shared" si="4"/>
        <v>FCFS</v>
      </c>
      <c r="D76" s="14">
        <v>43568</v>
      </c>
      <c r="E76" s="14">
        <v>43646</v>
      </c>
      <c r="F76" s="18">
        <f t="shared" si="5"/>
        <v>78</v>
      </c>
      <c r="G76" s="15">
        <v>2510530</v>
      </c>
      <c r="H76" s="10" t="s">
        <v>27</v>
      </c>
      <c r="I76" s="10">
        <v>3</v>
      </c>
      <c r="J76" s="10" t="s">
        <v>77</v>
      </c>
      <c r="K76" s="10">
        <v>90</v>
      </c>
      <c r="P76" s="38" t="str">
        <f t="shared" si="6"/>
        <v>TH</v>
      </c>
      <c r="Q76" s="10">
        <f t="shared" si="7"/>
        <v>0</v>
      </c>
    </row>
    <row r="77" spans="1:17" x14ac:dyDescent="0.25">
      <c r="A77" s="4" t="s">
        <v>215</v>
      </c>
      <c r="B77" s="17" t="str">
        <f>VLOOKUP(A77, quota_order_numbers2,5, FALSE)</f>
        <v>122 Non preferential tariff quota</v>
      </c>
      <c r="C77" s="17" t="str">
        <f t="shared" si="4"/>
        <v>FCFS</v>
      </c>
      <c r="D77" s="14">
        <v>43568</v>
      </c>
      <c r="E77" s="14">
        <v>43646</v>
      </c>
      <c r="F77" s="18">
        <f t="shared" si="5"/>
        <v>78</v>
      </c>
      <c r="G77" s="15">
        <v>4223530</v>
      </c>
      <c r="H77" s="10" t="s">
        <v>27</v>
      </c>
      <c r="I77" s="10">
        <v>3</v>
      </c>
      <c r="J77" s="10" t="s">
        <v>77</v>
      </c>
      <c r="K77" s="10">
        <v>90</v>
      </c>
      <c r="P77" s="38" t="str">
        <f t="shared" si="6"/>
        <v>TR</v>
      </c>
      <c r="Q77" s="10">
        <f t="shared" si="7"/>
        <v>0</v>
      </c>
    </row>
  </sheetData>
  <autoFilter ref="A1:P2" xr:uid="{6EEF3B31-31B7-4F41-83A3-EF68C7EA1F96}"/>
  <dataValidations count="2">
    <dataValidation type="list" allowBlank="1" showInputMessage="1" showErrorMessage="1" sqref="A1:C1048576" xr:uid="{651D2AEF-DA18-450B-A166-46B48EEB75CB}">
      <formula1>quota_order_numbers</formula1>
    </dataValidation>
    <dataValidation type="list" allowBlank="1" showInputMessage="1" showErrorMessage="1" sqref="H1:H1048576" xr:uid="{51C1CD5E-2D91-4EE2-8A17-0ECF2117FDFD}">
      <formula1>measurement_units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J1067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19.140625" style="17" customWidth="1"/>
    <col min="4" max="4" width="20" style="12" customWidth="1"/>
    <col min="5" max="6" width="26.42578125" style="12" customWidth="1"/>
    <col min="7" max="9" width="26.42578125" style="5" customWidth="1"/>
    <col min="10" max="10" width="9.140625" style="10"/>
  </cols>
  <sheetData>
    <row r="1" spans="1:10" x14ac:dyDescent="0.25">
      <c r="A1" s="2" t="s">
        <v>73</v>
      </c>
      <c r="B1" s="2" t="s">
        <v>74</v>
      </c>
      <c r="C1" s="2" t="s">
        <v>94</v>
      </c>
      <c r="D1" s="11" t="s">
        <v>75</v>
      </c>
      <c r="E1" s="11" t="s">
        <v>89</v>
      </c>
      <c r="F1" s="3" t="s">
        <v>76</v>
      </c>
      <c r="G1" s="3" t="s">
        <v>90</v>
      </c>
      <c r="H1" s="3" t="s">
        <v>95</v>
      </c>
      <c r="I1" s="3" t="s">
        <v>96</v>
      </c>
      <c r="J1" s="9" t="s">
        <v>102</v>
      </c>
    </row>
    <row r="2" spans="1:10" x14ac:dyDescent="0.25">
      <c r="A2" s="20" t="s">
        <v>312</v>
      </c>
      <c r="B2" s="4" t="s">
        <v>104</v>
      </c>
      <c r="C2" s="17" t="str">
        <f t="shared" ref="C2:C65" si="0">VLOOKUP(B2, quota_order_numbers2, 6, FALSE)</f>
        <v>EU</v>
      </c>
      <c r="D2" s="12">
        <v>0</v>
      </c>
    </row>
    <row r="3" spans="1:10" x14ac:dyDescent="0.25">
      <c r="A3" s="4" t="s">
        <v>313</v>
      </c>
      <c r="B3" s="4" t="s">
        <v>104</v>
      </c>
      <c r="C3" s="17" t="str">
        <f t="shared" si="0"/>
        <v>EU</v>
      </c>
      <c r="D3" s="12">
        <v>0</v>
      </c>
    </row>
    <row r="4" spans="1:10" x14ac:dyDescent="0.25">
      <c r="A4" s="4" t="s">
        <v>314</v>
      </c>
      <c r="B4" s="4" t="s">
        <v>104</v>
      </c>
      <c r="C4" s="17" t="str">
        <f t="shared" si="0"/>
        <v>EU</v>
      </c>
      <c r="D4" s="12">
        <v>0</v>
      </c>
    </row>
    <row r="5" spans="1:10" x14ac:dyDescent="0.25">
      <c r="A5" s="4" t="s">
        <v>315</v>
      </c>
      <c r="B5" s="4" t="s">
        <v>104</v>
      </c>
      <c r="C5" s="17" t="str">
        <f t="shared" si="0"/>
        <v>EU</v>
      </c>
      <c r="D5" s="12">
        <v>0</v>
      </c>
    </row>
    <row r="6" spans="1:10" x14ac:dyDescent="0.25">
      <c r="A6" s="4" t="s">
        <v>316</v>
      </c>
      <c r="B6" s="4" t="s">
        <v>104</v>
      </c>
      <c r="C6" s="17" t="str">
        <f t="shared" si="0"/>
        <v>EU</v>
      </c>
      <c r="D6" s="12">
        <v>0</v>
      </c>
    </row>
    <row r="7" spans="1:10" x14ac:dyDescent="0.25">
      <c r="A7" s="4" t="s">
        <v>317</v>
      </c>
      <c r="B7" s="4" t="s">
        <v>104</v>
      </c>
      <c r="C7" s="17" t="str">
        <f t="shared" si="0"/>
        <v>EU</v>
      </c>
      <c r="D7" s="12">
        <v>0</v>
      </c>
    </row>
    <row r="8" spans="1:10" x14ac:dyDescent="0.25">
      <c r="A8" s="4" t="s">
        <v>318</v>
      </c>
      <c r="B8" s="4" t="s">
        <v>104</v>
      </c>
      <c r="C8" s="17" t="str">
        <f t="shared" si="0"/>
        <v>EU</v>
      </c>
      <c r="D8" s="12">
        <v>0</v>
      </c>
    </row>
    <row r="9" spans="1:10" x14ac:dyDescent="0.25">
      <c r="A9" s="4" t="s">
        <v>319</v>
      </c>
      <c r="B9" s="4" t="s">
        <v>104</v>
      </c>
      <c r="C9" s="17" t="str">
        <f t="shared" si="0"/>
        <v>EU</v>
      </c>
      <c r="D9" s="12">
        <v>0</v>
      </c>
    </row>
    <row r="10" spans="1:10" x14ac:dyDescent="0.25">
      <c r="A10" s="4" t="s">
        <v>320</v>
      </c>
      <c r="B10" s="4" t="s">
        <v>104</v>
      </c>
      <c r="C10" s="17" t="str">
        <f t="shared" si="0"/>
        <v>EU</v>
      </c>
      <c r="D10" s="12">
        <v>0</v>
      </c>
    </row>
    <row r="11" spans="1:10" x14ac:dyDescent="0.25">
      <c r="A11" s="4" t="s">
        <v>321</v>
      </c>
      <c r="B11" s="4" t="s">
        <v>104</v>
      </c>
      <c r="C11" s="17" t="str">
        <f t="shared" si="0"/>
        <v>EU</v>
      </c>
      <c r="D11" s="12">
        <v>0</v>
      </c>
    </row>
    <row r="12" spans="1:10" x14ac:dyDescent="0.25">
      <c r="A12" s="4" t="s">
        <v>322</v>
      </c>
      <c r="B12" s="4" t="s">
        <v>104</v>
      </c>
      <c r="C12" s="17" t="str">
        <f t="shared" si="0"/>
        <v>EU</v>
      </c>
      <c r="D12" s="12">
        <v>0</v>
      </c>
    </row>
    <row r="13" spans="1:10" x14ac:dyDescent="0.25">
      <c r="A13" s="4" t="s">
        <v>323</v>
      </c>
      <c r="B13" s="4" t="s">
        <v>104</v>
      </c>
      <c r="C13" s="17" t="str">
        <f t="shared" si="0"/>
        <v>EU</v>
      </c>
      <c r="D13" s="12">
        <v>0</v>
      </c>
    </row>
    <row r="14" spans="1:10" x14ac:dyDescent="0.25">
      <c r="A14" s="4" t="s">
        <v>324</v>
      </c>
      <c r="B14" s="4" t="s">
        <v>104</v>
      </c>
      <c r="C14" s="17" t="str">
        <f t="shared" si="0"/>
        <v>EU</v>
      </c>
      <c r="D14" s="12">
        <v>0</v>
      </c>
    </row>
    <row r="15" spans="1:10" x14ac:dyDescent="0.25">
      <c r="A15" s="4" t="s">
        <v>325</v>
      </c>
      <c r="B15" s="4" t="s">
        <v>104</v>
      </c>
      <c r="C15" s="17" t="str">
        <f t="shared" si="0"/>
        <v>EU</v>
      </c>
      <c r="D15" s="12">
        <v>0</v>
      </c>
    </row>
    <row r="16" spans="1:10" x14ac:dyDescent="0.25">
      <c r="A16" s="4" t="s">
        <v>326</v>
      </c>
      <c r="B16" s="4" t="s">
        <v>104</v>
      </c>
      <c r="C16" s="17" t="str">
        <f t="shared" si="0"/>
        <v>EU</v>
      </c>
      <c r="D16" s="12">
        <v>0</v>
      </c>
    </row>
    <row r="17" spans="1:4" x14ac:dyDescent="0.25">
      <c r="A17" s="4" t="s">
        <v>327</v>
      </c>
      <c r="B17" s="4" t="s">
        <v>104</v>
      </c>
      <c r="C17" s="17" t="str">
        <f t="shared" si="0"/>
        <v>EU</v>
      </c>
      <c r="D17" s="12">
        <v>0</v>
      </c>
    </row>
    <row r="18" spans="1:4" x14ac:dyDescent="0.25">
      <c r="A18" s="4" t="s">
        <v>328</v>
      </c>
      <c r="B18" s="4" t="s">
        <v>104</v>
      </c>
      <c r="C18" s="17" t="str">
        <f t="shared" si="0"/>
        <v>EU</v>
      </c>
      <c r="D18" s="12">
        <v>0</v>
      </c>
    </row>
    <row r="19" spans="1:4" x14ac:dyDescent="0.25">
      <c r="A19" s="4" t="s">
        <v>329</v>
      </c>
      <c r="B19" s="4" t="s">
        <v>104</v>
      </c>
      <c r="C19" s="17" t="str">
        <f t="shared" si="0"/>
        <v>EU</v>
      </c>
      <c r="D19" s="12">
        <v>0</v>
      </c>
    </row>
    <row r="20" spans="1:4" x14ac:dyDescent="0.25">
      <c r="A20" s="4" t="s">
        <v>330</v>
      </c>
      <c r="B20" s="4" t="s">
        <v>104</v>
      </c>
      <c r="C20" s="17" t="str">
        <f t="shared" si="0"/>
        <v>EU</v>
      </c>
      <c r="D20" s="12">
        <v>0</v>
      </c>
    </row>
    <row r="21" spans="1:4" x14ac:dyDescent="0.25">
      <c r="A21" s="4" t="s">
        <v>331</v>
      </c>
      <c r="B21" s="4" t="s">
        <v>104</v>
      </c>
      <c r="C21" s="17" t="str">
        <f t="shared" si="0"/>
        <v>EU</v>
      </c>
      <c r="D21" s="12">
        <v>0</v>
      </c>
    </row>
    <row r="22" spans="1:4" x14ac:dyDescent="0.25">
      <c r="A22" s="4" t="s">
        <v>332</v>
      </c>
      <c r="B22" s="4" t="s">
        <v>104</v>
      </c>
      <c r="C22" s="17" t="str">
        <f t="shared" si="0"/>
        <v>EU</v>
      </c>
      <c r="D22" s="12">
        <v>0</v>
      </c>
    </row>
    <row r="23" spans="1:4" x14ac:dyDescent="0.25">
      <c r="A23" s="4" t="s">
        <v>333</v>
      </c>
      <c r="B23" s="4" t="s">
        <v>104</v>
      </c>
      <c r="C23" s="17" t="str">
        <f t="shared" si="0"/>
        <v>EU</v>
      </c>
      <c r="D23" s="12">
        <v>0</v>
      </c>
    </row>
    <row r="24" spans="1:4" x14ac:dyDescent="0.25">
      <c r="A24" s="4" t="s">
        <v>334</v>
      </c>
      <c r="B24" s="4" t="s">
        <v>104</v>
      </c>
      <c r="C24" s="17" t="str">
        <f t="shared" si="0"/>
        <v>EU</v>
      </c>
      <c r="D24" s="12">
        <v>0</v>
      </c>
    </row>
    <row r="25" spans="1:4" x14ac:dyDescent="0.25">
      <c r="A25" s="4" t="s">
        <v>335</v>
      </c>
      <c r="B25" s="4" t="s">
        <v>104</v>
      </c>
      <c r="C25" s="17" t="str">
        <f t="shared" si="0"/>
        <v>EU</v>
      </c>
      <c r="D25" s="12">
        <v>0</v>
      </c>
    </row>
    <row r="26" spans="1:4" x14ac:dyDescent="0.25">
      <c r="A26" s="4" t="s">
        <v>336</v>
      </c>
      <c r="B26" s="4" t="s">
        <v>104</v>
      </c>
      <c r="C26" s="17" t="str">
        <f t="shared" si="0"/>
        <v>EU</v>
      </c>
      <c r="D26" s="12">
        <v>0</v>
      </c>
    </row>
    <row r="27" spans="1:4" x14ac:dyDescent="0.25">
      <c r="A27" s="4" t="s">
        <v>337</v>
      </c>
      <c r="B27" s="4" t="s">
        <v>104</v>
      </c>
      <c r="C27" s="17" t="str">
        <f t="shared" si="0"/>
        <v>EU</v>
      </c>
      <c r="D27" s="12">
        <v>0</v>
      </c>
    </row>
    <row r="28" spans="1:4" x14ac:dyDescent="0.25">
      <c r="A28" s="4" t="s">
        <v>338</v>
      </c>
      <c r="B28" s="4" t="s">
        <v>104</v>
      </c>
      <c r="C28" s="17" t="str">
        <f t="shared" si="0"/>
        <v>EU</v>
      </c>
      <c r="D28" s="12">
        <v>0</v>
      </c>
    </row>
    <row r="29" spans="1:4" x14ac:dyDescent="0.25">
      <c r="A29" s="4" t="s">
        <v>339</v>
      </c>
      <c r="B29" s="4" t="s">
        <v>104</v>
      </c>
      <c r="C29" s="17" t="str">
        <f t="shared" si="0"/>
        <v>EU</v>
      </c>
      <c r="D29" s="12">
        <v>0</v>
      </c>
    </row>
    <row r="30" spans="1:4" x14ac:dyDescent="0.25">
      <c r="A30" s="20" t="s">
        <v>312</v>
      </c>
      <c r="B30" s="4" t="s">
        <v>105</v>
      </c>
      <c r="C30" s="17" t="str">
        <f t="shared" si="0"/>
        <v>TR</v>
      </c>
      <c r="D30" s="12">
        <v>0</v>
      </c>
    </row>
    <row r="31" spans="1:4" x14ac:dyDescent="0.25">
      <c r="A31" s="4" t="s">
        <v>313</v>
      </c>
      <c r="B31" s="4" t="s">
        <v>105</v>
      </c>
      <c r="C31" s="17" t="str">
        <f t="shared" si="0"/>
        <v>TR</v>
      </c>
      <c r="D31" s="12">
        <v>0</v>
      </c>
    </row>
    <row r="32" spans="1:4" x14ac:dyDescent="0.25">
      <c r="A32" s="4" t="s">
        <v>314</v>
      </c>
      <c r="B32" s="4" t="s">
        <v>105</v>
      </c>
      <c r="C32" s="17" t="str">
        <f t="shared" si="0"/>
        <v>TR</v>
      </c>
      <c r="D32" s="12">
        <v>0</v>
      </c>
    </row>
    <row r="33" spans="1:4" x14ac:dyDescent="0.25">
      <c r="A33" s="4" t="s">
        <v>315</v>
      </c>
      <c r="B33" s="4" t="s">
        <v>105</v>
      </c>
      <c r="C33" s="17" t="str">
        <f t="shared" si="0"/>
        <v>TR</v>
      </c>
      <c r="D33" s="12">
        <v>0</v>
      </c>
    </row>
    <row r="34" spans="1:4" x14ac:dyDescent="0.25">
      <c r="A34" s="4" t="s">
        <v>316</v>
      </c>
      <c r="B34" s="4" t="s">
        <v>105</v>
      </c>
      <c r="C34" s="17" t="str">
        <f t="shared" si="0"/>
        <v>TR</v>
      </c>
      <c r="D34" s="12">
        <v>0</v>
      </c>
    </row>
    <row r="35" spans="1:4" x14ac:dyDescent="0.25">
      <c r="A35" s="4" t="s">
        <v>317</v>
      </c>
      <c r="B35" s="4" t="s">
        <v>105</v>
      </c>
      <c r="C35" s="17" t="str">
        <f t="shared" si="0"/>
        <v>TR</v>
      </c>
      <c r="D35" s="12">
        <v>0</v>
      </c>
    </row>
    <row r="36" spans="1:4" x14ac:dyDescent="0.25">
      <c r="A36" s="4" t="s">
        <v>318</v>
      </c>
      <c r="B36" s="4" t="s">
        <v>105</v>
      </c>
      <c r="C36" s="17" t="str">
        <f t="shared" si="0"/>
        <v>TR</v>
      </c>
      <c r="D36" s="12">
        <v>0</v>
      </c>
    </row>
    <row r="37" spans="1:4" x14ac:dyDescent="0.25">
      <c r="A37" s="4" t="s">
        <v>319</v>
      </c>
      <c r="B37" s="4" t="s">
        <v>105</v>
      </c>
      <c r="C37" s="17" t="str">
        <f t="shared" si="0"/>
        <v>TR</v>
      </c>
      <c r="D37" s="12">
        <v>0</v>
      </c>
    </row>
    <row r="38" spans="1:4" x14ac:dyDescent="0.25">
      <c r="A38" s="4" t="s">
        <v>320</v>
      </c>
      <c r="B38" s="4" t="s">
        <v>105</v>
      </c>
      <c r="C38" s="17" t="str">
        <f t="shared" si="0"/>
        <v>TR</v>
      </c>
      <c r="D38" s="12">
        <v>0</v>
      </c>
    </row>
    <row r="39" spans="1:4" x14ac:dyDescent="0.25">
      <c r="A39" s="4" t="s">
        <v>321</v>
      </c>
      <c r="B39" s="4" t="s">
        <v>105</v>
      </c>
      <c r="C39" s="17" t="str">
        <f t="shared" si="0"/>
        <v>TR</v>
      </c>
      <c r="D39" s="12">
        <v>0</v>
      </c>
    </row>
    <row r="40" spans="1:4" x14ac:dyDescent="0.25">
      <c r="A40" s="4" t="s">
        <v>322</v>
      </c>
      <c r="B40" s="4" t="s">
        <v>105</v>
      </c>
      <c r="C40" s="17" t="str">
        <f t="shared" si="0"/>
        <v>TR</v>
      </c>
      <c r="D40" s="12">
        <v>0</v>
      </c>
    </row>
    <row r="41" spans="1:4" x14ac:dyDescent="0.25">
      <c r="A41" s="4" t="s">
        <v>323</v>
      </c>
      <c r="B41" s="4" t="s">
        <v>105</v>
      </c>
      <c r="C41" s="17" t="str">
        <f t="shared" si="0"/>
        <v>TR</v>
      </c>
      <c r="D41" s="12">
        <v>0</v>
      </c>
    </row>
    <row r="42" spans="1:4" x14ac:dyDescent="0.25">
      <c r="A42" s="4" t="s">
        <v>324</v>
      </c>
      <c r="B42" s="4" t="s">
        <v>105</v>
      </c>
      <c r="C42" s="17" t="str">
        <f t="shared" si="0"/>
        <v>TR</v>
      </c>
      <c r="D42" s="12">
        <v>0</v>
      </c>
    </row>
    <row r="43" spans="1:4" x14ac:dyDescent="0.25">
      <c r="A43" s="4" t="s">
        <v>325</v>
      </c>
      <c r="B43" s="4" t="s">
        <v>105</v>
      </c>
      <c r="C43" s="17" t="str">
        <f t="shared" si="0"/>
        <v>TR</v>
      </c>
      <c r="D43" s="12">
        <v>0</v>
      </c>
    </row>
    <row r="44" spans="1:4" x14ac:dyDescent="0.25">
      <c r="A44" s="4" t="s">
        <v>326</v>
      </c>
      <c r="B44" s="4" t="s">
        <v>105</v>
      </c>
      <c r="C44" s="17" t="str">
        <f t="shared" si="0"/>
        <v>TR</v>
      </c>
      <c r="D44" s="12">
        <v>0</v>
      </c>
    </row>
    <row r="45" spans="1:4" x14ac:dyDescent="0.25">
      <c r="A45" s="4" t="s">
        <v>327</v>
      </c>
      <c r="B45" s="4" t="s">
        <v>105</v>
      </c>
      <c r="C45" s="17" t="str">
        <f t="shared" si="0"/>
        <v>TR</v>
      </c>
      <c r="D45" s="12">
        <v>0</v>
      </c>
    </row>
    <row r="46" spans="1:4" x14ac:dyDescent="0.25">
      <c r="A46" s="4" t="s">
        <v>328</v>
      </c>
      <c r="B46" s="4" t="s">
        <v>105</v>
      </c>
      <c r="C46" s="17" t="str">
        <f t="shared" si="0"/>
        <v>TR</v>
      </c>
      <c r="D46" s="12">
        <v>0</v>
      </c>
    </row>
    <row r="47" spans="1:4" x14ac:dyDescent="0.25">
      <c r="A47" s="4" t="s">
        <v>329</v>
      </c>
      <c r="B47" s="4" t="s">
        <v>105</v>
      </c>
      <c r="C47" s="17" t="str">
        <f t="shared" si="0"/>
        <v>TR</v>
      </c>
      <c r="D47" s="12">
        <v>0</v>
      </c>
    </row>
    <row r="48" spans="1:4" x14ac:dyDescent="0.25">
      <c r="A48" s="4" t="s">
        <v>330</v>
      </c>
      <c r="B48" s="4" t="s">
        <v>105</v>
      </c>
      <c r="C48" s="17" t="str">
        <f t="shared" si="0"/>
        <v>TR</v>
      </c>
      <c r="D48" s="12">
        <v>0</v>
      </c>
    </row>
    <row r="49" spans="1:4" x14ac:dyDescent="0.25">
      <c r="A49" s="4" t="s">
        <v>331</v>
      </c>
      <c r="B49" s="4" t="s">
        <v>105</v>
      </c>
      <c r="C49" s="17" t="str">
        <f t="shared" si="0"/>
        <v>TR</v>
      </c>
      <c r="D49" s="12">
        <v>0</v>
      </c>
    </row>
    <row r="50" spans="1:4" x14ac:dyDescent="0.25">
      <c r="A50" s="4" t="s">
        <v>332</v>
      </c>
      <c r="B50" s="4" t="s">
        <v>105</v>
      </c>
      <c r="C50" s="17" t="str">
        <f t="shared" si="0"/>
        <v>TR</v>
      </c>
      <c r="D50" s="12">
        <v>0</v>
      </c>
    </row>
    <row r="51" spans="1:4" x14ac:dyDescent="0.25">
      <c r="A51" s="4" t="s">
        <v>333</v>
      </c>
      <c r="B51" s="4" t="s">
        <v>105</v>
      </c>
      <c r="C51" s="17" t="str">
        <f t="shared" si="0"/>
        <v>TR</v>
      </c>
      <c r="D51" s="12">
        <v>0</v>
      </c>
    </row>
    <row r="52" spans="1:4" x14ac:dyDescent="0.25">
      <c r="A52" s="4" t="s">
        <v>334</v>
      </c>
      <c r="B52" s="4" t="s">
        <v>105</v>
      </c>
      <c r="C52" s="17" t="str">
        <f t="shared" si="0"/>
        <v>TR</v>
      </c>
      <c r="D52" s="12">
        <v>0</v>
      </c>
    </row>
    <row r="53" spans="1:4" x14ac:dyDescent="0.25">
      <c r="A53" s="4" t="s">
        <v>335</v>
      </c>
      <c r="B53" s="4" t="s">
        <v>105</v>
      </c>
      <c r="C53" s="17" t="str">
        <f t="shared" si="0"/>
        <v>TR</v>
      </c>
      <c r="D53" s="12">
        <v>0</v>
      </c>
    </row>
    <row r="54" spans="1:4" x14ac:dyDescent="0.25">
      <c r="A54" s="4" t="s">
        <v>336</v>
      </c>
      <c r="B54" s="4" t="s">
        <v>105</v>
      </c>
      <c r="C54" s="17" t="str">
        <f t="shared" si="0"/>
        <v>TR</v>
      </c>
      <c r="D54" s="12">
        <v>0</v>
      </c>
    </row>
    <row r="55" spans="1:4" x14ac:dyDescent="0.25">
      <c r="A55" s="4" t="s">
        <v>337</v>
      </c>
      <c r="B55" s="4" t="s">
        <v>105</v>
      </c>
      <c r="C55" s="17" t="str">
        <f t="shared" si="0"/>
        <v>TR</v>
      </c>
      <c r="D55" s="12">
        <v>0</v>
      </c>
    </row>
    <row r="56" spans="1:4" x14ac:dyDescent="0.25">
      <c r="A56" s="4" t="s">
        <v>338</v>
      </c>
      <c r="B56" s="4" t="s">
        <v>105</v>
      </c>
      <c r="C56" s="17" t="str">
        <f t="shared" si="0"/>
        <v>TR</v>
      </c>
      <c r="D56" s="12">
        <v>0</v>
      </c>
    </row>
    <row r="57" spans="1:4" x14ac:dyDescent="0.25">
      <c r="A57" s="4" t="s">
        <v>339</v>
      </c>
      <c r="B57" s="4" t="s">
        <v>105</v>
      </c>
      <c r="C57" s="17" t="str">
        <f t="shared" si="0"/>
        <v>TR</v>
      </c>
      <c r="D57" s="12">
        <v>0</v>
      </c>
    </row>
    <row r="58" spans="1:4" x14ac:dyDescent="0.25">
      <c r="A58" s="20" t="s">
        <v>312</v>
      </c>
      <c r="B58" s="4" t="s">
        <v>107</v>
      </c>
      <c r="C58" s="17" t="str">
        <f t="shared" si="0"/>
        <v>5002</v>
      </c>
      <c r="D58" s="12">
        <v>0</v>
      </c>
    </row>
    <row r="59" spans="1:4" x14ac:dyDescent="0.25">
      <c r="A59" s="4" t="s">
        <v>313</v>
      </c>
      <c r="B59" s="4" t="s">
        <v>107</v>
      </c>
      <c r="C59" s="17" t="str">
        <f t="shared" si="0"/>
        <v>5002</v>
      </c>
      <c r="D59" s="12">
        <v>0</v>
      </c>
    </row>
    <row r="60" spans="1:4" x14ac:dyDescent="0.25">
      <c r="A60" s="4" t="s">
        <v>314</v>
      </c>
      <c r="B60" s="4" t="s">
        <v>107</v>
      </c>
      <c r="C60" s="17" t="str">
        <f t="shared" si="0"/>
        <v>5002</v>
      </c>
      <c r="D60" s="12">
        <v>0</v>
      </c>
    </row>
    <row r="61" spans="1:4" x14ac:dyDescent="0.25">
      <c r="A61" s="4" t="s">
        <v>315</v>
      </c>
      <c r="B61" s="4" t="s">
        <v>107</v>
      </c>
      <c r="C61" s="17" t="str">
        <f t="shared" si="0"/>
        <v>5002</v>
      </c>
      <c r="D61" s="12">
        <v>0</v>
      </c>
    </row>
    <row r="62" spans="1:4" x14ac:dyDescent="0.25">
      <c r="A62" s="4" t="s">
        <v>316</v>
      </c>
      <c r="B62" s="4" t="s">
        <v>107</v>
      </c>
      <c r="C62" s="17" t="str">
        <f t="shared" si="0"/>
        <v>5002</v>
      </c>
      <c r="D62" s="12">
        <v>0</v>
      </c>
    </row>
    <row r="63" spans="1:4" x14ac:dyDescent="0.25">
      <c r="A63" s="4" t="s">
        <v>317</v>
      </c>
      <c r="B63" s="4" t="s">
        <v>107</v>
      </c>
      <c r="C63" s="17" t="str">
        <f t="shared" si="0"/>
        <v>5002</v>
      </c>
      <c r="D63" s="12">
        <v>0</v>
      </c>
    </row>
    <row r="64" spans="1:4" x14ac:dyDescent="0.25">
      <c r="A64" s="4" t="s">
        <v>318</v>
      </c>
      <c r="B64" s="4" t="s">
        <v>107</v>
      </c>
      <c r="C64" s="17" t="str">
        <f t="shared" si="0"/>
        <v>5002</v>
      </c>
      <c r="D64" s="12">
        <v>0</v>
      </c>
    </row>
    <row r="65" spans="1:4" x14ac:dyDescent="0.25">
      <c r="A65" s="4" t="s">
        <v>319</v>
      </c>
      <c r="B65" s="4" t="s">
        <v>107</v>
      </c>
      <c r="C65" s="17" t="str">
        <f t="shared" si="0"/>
        <v>5002</v>
      </c>
      <c r="D65" s="12">
        <v>0</v>
      </c>
    </row>
    <row r="66" spans="1:4" x14ac:dyDescent="0.25">
      <c r="A66" s="4" t="s">
        <v>320</v>
      </c>
      <c r="B66" s="4" t="s">
        <v>107</v>
      </c>
      <c r="C66" s="17" t="str">
        <f t="shared" ref="C66:C129" si="1">VLOOKUP(B66, quota_order_numbers2, 6, FALSE)</f>
        <v>5002</v>
      </c>
      <c r="D66" s="12">
        <v>0</v>
      </c>
    </row>
    <row r="67" spans="1:4" x14ac:dyDescent="0.25">
      <c r="A67" s="4" t="s">
        <v>321</v>
      </c>
      <c r="B67" s="4" t="s">
        <v>107</v>
      </c>
      <c r="C67" s="17" t="str">
        <f t="shared" si="1"/>
        <v>5002</v>
      </c>
      <c r="D67" s="12">
        <v>0</v>
      </c>
    </row>
    <row r="68" spans="1:4" x14ac:dyDescent="0.25">
      <c r="A68" s="4" t="s">
        <v>322</v>
      </c>
      <c r="B68" s="4" t="s">
        <v>107</v>
      </c>
      <c r="C68" s="17" t="str">
        <f t="shared" si="1"/>
        <v>5002</v>
      </c>
      <c r="D68" s="12">
        <v>0</v>
      </c>
    </row>
    <row r="69" spans="1:4" x14ac:dyDescent="0.25">
      <c r="A69" s="4" t="s">
        <v>323</v>
      </c>
      <c r="B69" s="4" t="s">
        <v>107</v>
      </c>
      <c r="C69" s="17" t="str">
        <f t="shared" si="1"/>
        <v>5002</v>
      </c>
      <c r="D69" s="12">
        <v>0</v>
      </c>
    </row>
    <row r="70" spans="1:4" x14ac:dyDescent="0.25">
      <c r="A70" s="4" t="s">
        <v>324</v>
      </c>
      <c r="B70" s="4" t="s">
        <v>107</v>
      </c>
      <c r="C70" s="17" t="str">
        <f t="shared" si="1"/>
        <v>5002</v>
      </c>
      <c r="D70" s="12">
        <v>0</v>
      </c>
    </row>
    <row r="71" spans="1:4" x14ac:dyDescent="0.25">
      <c r="A71" s="4" t="s">
        <v>325</v>
      </c>
      <c r="B71" s="4" t="s">
        <v>107</v>
      </c>
      <c r="C71" s="17" t="str">
        <f t="shared" si="1"/>
        <v>5002</v>
      </c>
      <c r="D71" s="12">
        <v>0</v>
      </c>
    </row>
    <row r="72" spans="1:4" x14ac:dyDescent="0.25">
      <c r="A72" s="4" t="s">
        <v>326</v>
      </c>
      <c r="B72" s="4" t="s">
        <v>107</v>
      </c>
      <c r="C72" s="17" t="str">
        <f t="shared" si="1"/>
        <v>5002</v>
      </c>
      <c r="D72" s="12">
        <v>0</v>
      </c>
    </row>
    <row r="73" spans="1:4" x14ac:dyDescent="0.25">
      <c r="A73" s="4" t="s">
        <v>327</v>
      </c>
      <c r="B73" s="4" t="s">
        <v>107</v>
      </c>
      <c r="C73" s="17" t="str">
        <f t="shared" si="1"/>
        <v>5002</v>
      </c>
      <c r="D73" s="12">
        <v>0</v>
      </c>
    </row>
    <row r="74" spans="1:4" x14ac:dyDescent="0.25">
      <c r="A74" s="4" t="s">
        <v>328</v>
      </c>
      <c r="B74" s="4" t="s">
        <v>107</v>
      </c>
      <c r="C74" s="17" t="str">
        <f t="shared" si="1"/>
        <v>5002</v>
      </c>
      <c r="D74" s="12">
        <v>0</v>
      </c>
    </row>
    <row r="75" spans="1:4" x14ac:dyDescent="0.25">
      <c r="A75" s="4" t="s">
        <v>329</v>
      </c>
      <c r="B75" s="4" t="s">
        <v>107</v>
      </c>
      <c r="C75" s="17" t="str">
        <f t="shared" si="1"/>
        <v>5002</v>
      </c>
      <c r="D75" s="12">
        <v>0</v>
      </c>
    </row>
    <row r="76" spans="1:4" x14ac:dyDescent="0.25">
      <c r="A76" s="4" t="s">
        <v>330</v>
      </c>
      <c r="B76" s="4" t="s">
        <v>107</v>
      </c>
      <c r="C76" s="17" t="str">
        <f t="shared" si="1"/>
        <v>5002</v>
      </c>
      <c r="D76" s="12">
        <v>0</v>
      </c>
    </row>
    <row r="77" spans="1:4" x14ac:dyDescent="0.25">
      <c r="A77" s="4" t="s">
        <v>331</v>
      </c>
      <c r="B77" s="4" t="s">
        <v>107</v>
      </c>
      <c r="C77" s="17" t="str">
        <f t="shared" si="1"/>
        <v>5002</v>
      </c>
      <c r="D77" s="12">
        <v>0</v>
      </c>
    </row>
    <row r="78" spans="1:4" x14ac:dyDescent="0.25">
      <c r="A78" s="4" t="s">
        <v>332</v>
      </c>
      <c r="B78" s="4" t="s">
        <v>107</v>
      </c>
      <c r="C78" s="17" t="str">
        <f t="shared" si="1"/>
        <v>5002</v>
      </c>
      <c r="D78" s="12">
        <v>0</v>
      </c>
    </row>
    <row r="79" spans="1:4" x14ac:dyDescent="0.25">
      <c r="A79" s="4" t="s">
        <v>333</v>
      </c>
      <c r="B79" s="4" t="s">
        <v>107</v>
      </c>
      <c r="C79" s="17" t="str">
        <f t="shared" si="1"/>
        <v>5002</v>
      </c>
      <c r="D79" s="12">
        <v>0</v>
      </c>
    </row>
    <row r="80" spans="1:4" x14ac:dyDescent="0.25">
      <c r="A80" s="4" t="s">
        <v>334</v>
      </c>
      <c r="B80" s="4" t="s">
        <v>107</v>
      </c>
      <c r="C80" s="17" t="str">
        <f t="shared" si="1"/>
        <v>5002</v>
      </c>
      <c r="D80" s="12">
        <v>0</v>
      </c>
    </row>
    <row r="81" spans="1:4" x14ac:dyDescent="0.25">
      <c r="A81" s="4" t="s">
        <v>335</v>
      </c>
      <c r="B81" s="4" t="s">
        <v>107</v>
      </c>
      <c r="C81" s="17" t="str">
        <f t="shared" si="1"/>
        <v>5002</v>
      </c>
      <c r="D81" s="12">
        <v>0</v>
      </c>
    </row>
    <row r="82" spans="1:4" x14ac:dyDescent="0.25">
      <c r="A82" s="4" t="s">
        <v>336</v>
      </c>
      <c r="B82" s="4" t="s">
        <v>107</v>
      </c>
      <c r="C82" s="17" t="str">
        <f t="shared" si="1"/>
        <v>5002</v>
      </c>
      <c r="D82" s="12">
        <v>0</v>
      </c>
    </row>
    <row r="83" spans="1:4" x14ac:dyDescent="0.25">
      <c r="A83" s="4" t="s">
        <v>337</v>
      </c>
      <c r="B83" s="4" t="s">
        <v>107</v>
      </c>
      <c r="C83" s="17" t="str">
        <f t="shared" si="1"/>
        <v>5002</v>
      </c>
      <c r="D83" s="12">
        <v>0</v>
      </c>
    </row>
    <row r="84" spans="1:4" x14ac:dyDescent="0.25">
      <c r="A84" s="4" t="s">
        <v>338</v>
      </c>
      <c r="B84" s="4" t="s">
        <v>107</v>
      </c>
      <c r="C84" s="17" t="str">
        <f t="shared" si="1"/>
        <v>5002</v>
      </c>
      <c r="D84" s="12">
        <v>0</v>
      </c>
    </row>
    <row r="85" spans="1:4" x14ac:dyDescent="0.25">
      <c r="A85" s="4" t="s">
        <v>339</v>
      </c>
      <c r="B85" s="4" t="s">
        <v>107</v>
      </c>
      <c r="C85" s="17" t="str">
        <f t="shared" si="1"/>
        <v>5002</v>
      </c>
      <c r="D85" s="12">
        <v>0</v>
      </c>
    </row>
    <row r="86" spans="1:4" x14ac:dyDescent="0.25">
      <c r="A86" s="20" t="s">
        <v>340</v>
      </c>
      <c r="B86" s="4" t="s">
        <v>111</v>
      </c>
      <c r="C86" s="17" t="str">
        <f t="shared" si="1"/>
        <v>EU</v>
      </c>
      <c r="D86" s="12">
        <v>0</v>
      </c>
    </row>
    <row r="87" spans="1:4" x14ac:dyDescent="0.25">
      <c r="A87" s="4" t="s">
        <v>341</v>
      </c>
      <c r="B87" s="4" t="s">
        <v>111</v>
      </c>
      <c r="C87" s="17" t="str">
        <f t="shared" si="1"/>
        <v>EU</v>
      </c>
      <c r="D87" s="12">
        <v>0</v>
      </c>
    </row>
    <row r="88" spans="1:4" x14ac:dyDescent="0.25">
      <c r="A88" s="4" t="s">
        <v>342</v>
      </c>
      <c r="B88" s="4" t="s">
        <v>111</v>
      </c>
      <c r="C88" s="17" t="str">
        <f t="shared" si="1"/>
        <v>EU</v>
      </c>
      <c r="D88" s="12">
        <v>0</v>
      </c>
    </row>
    <row r="89" spans="1:4" x14ac:dyDescent="0.25">
      <c r="A89" s="4" t="s">
        <v>343</v>
      </c>
      <c r="B89" s="4" t="s">
        <v>111</v>
      </c>
      <c r="C89" s="17" t="str">
        <f t="shared" si="1"/>
        <v>EU</v>
      </c>
      <c r="D89" s="12">
        <v>0</v>
      </c>
    </row>
    <row r="90" spans="1:4" x14ac:dyDescent="0.25">
      <c r="A90" s="4" t="s">
        <v>344</v>
      </c>
      <c r="B90" s="4" t="s">
        <v>111</v>
      </c>
      <c r="C90" s="17" t="str">
        <f t="shared" si="1"/>
        <v>EU</v>
      </c>
      <c r="D90" s="12">
        <v>0</v>
      </c>
    </row>
    <row r="91" spans="1:4" x14ac:dyDescent="0.25">
      <c r="A91" s="4" t="s">
        <v>345</v>
      </c>
      <c r="B91" s="4" t="s">
        <v>111</v>
      </c>
      <c r="C91" s="17" t="str">
        <f t="shared" si="1"/>
        <v>EU</v>
      </c>
      <c r="D91" s="12">
        <v>0</v>
      </c>
    </row>
    <row r="92" spans="1:4" x14ac:dyDescent="0.25">
      <c r="A92" s="4" t="s">
        <v>346</v>
      </c>
      <c r="B92" s="4" t="s">
        <v>111</v>
      </c>
      <c r="C92" s="17" t="str">
        <f t="shared" si="1"/>
        <v>EU</v>
      </c>
      <c r="D92" s="12">
        <v>0</v>
      </c>
    </row>
    <row r="93" spans="1:4" x14ac:dyDescent="0.25">
      <c r="A93" s="4" t="s">
        <v>347</v>
      </c>
      <c r="B93" s="4" t="s">
        <v>111</v>
      </c>
      <c r="C93" s="17" t="str">
        <f t="shared" si="1"/>
        <v>EU</v>
      </c>
      <c r="D93" s="12">
        <v>0</v>
      </c>
    </row>
    <row r="94" spans="1:4" x14ac:dyDescent="0.25">
      <c r="A94" s="4" t="s">
        <v>348</v>
      </c>
      <c r="B94" s="4" t="s">
        <v>111</v>
      </c>
      <c r="C94" s="17" t="str">
        <f t="shared" si="1"/>
        <v>EU</v>
      </c>
      <c r="D94" s="12">
        <v>0</v>
      </c>
    </row>
    <row r="95" spans="1:4" x14ac:dyDescent="0.25">
      <c r="A95" s="4" t="s">
        <v>349</v>
      </c>
      <c r="B95" s="4" t="s">
        <v>111</v>
      </c>
      <c r="C95" s="17" t="str">
        <f t="shared" si="1"/>
        <v>EU</v>
      </c>
      <c r="D95" s="12">
        <v>0</v>
      </c>
    </row>
    <row r="96" spans="1:4" x14ac:dyDescent="0.25">
      <c r="A96" s="4" t="s">
        <v>350</v>
      </c>
      <c r="B96" s="4" t="s">
        <v>111</v>
      </c>
      <c r="C96" s="17" t="str">
        <f t="shared" si="1"/>
        <v>EU</v>
      </c>
      <c r="D96" s="12">
        <v>0</v>
      </c>
    </row>
    <row r="97" spans="1:4" x14ac:dyDescent="0.25">
      <c r="A97" s="4" t="s">
        <v>351</v>
      </c>
      <c r="B97" s="4" t="s">
        <v>111</v>
      </c>
      <c r="C97" s="17" t="str">
        <f t="shared" si="1"/>
        <v>EU</v>
      </c>
      <c r="D97" s="12">
        <v>0</v>
      </c>
    </row>
    <row r="98" spans="1:4" x14ac:dyDescent="0.25">
      <c r="A98" s="4" t="s">
        <v>352</v>
      </c>
      <c r="B98" s="4" t="s">
        <v>111</v>
      </c>
      <c r="C98" s="17" t="str">
        <f t="shared" si="1"/>
        <v>EU</v>
      </c>
      <c r="D98" s="12">
        <v>0</v>
      </c>
    </row>
    <row r="99" spans="1:4" x14ac:dyDescent="0.25">
      <c r="A99" s="4" t="s">
        <v>353</v>
      </c>
      <c r="B99" s="4" t="s">
        <v>111</v>
      </c>
      <c r="C99" s="17" t="str">
        <f t="shared" si="1"/>
        <v>EU</v>
      </c>
      <c r="D99" s="12">
        <v>0</v>
      </c>
    </row>
    <row r="100" spans="1:4" x14ac:dyDescent="0.25">
      <c r="A100" s="4" t="s">
        <v>354</v>
      </c>
      <c r="B100" s="4" t="s">
        <v>111</v>
      </c>
      <c r="C100" s="17" t="str">
        <f t="shared" si="1"/>
        <v>EU</v>
      </c>
      <c r="D100" s="12">
        <v>0</v>
      </c>
    </row>
    <row r="101" spans="1:4" x14ac:dyDescent="0.25">
      <c r="A101" s="4" t="s">
        <v>355</v>
      </c>
      <c r="B101" s="4" t="s">
        <v>111</v>
      </c>
      <c r="C101" s="17" t="str">
        <f t="shared" si="1"/>
        <v>EU</v>
      </c>
      <c r="D101" s="12">
        <v>0</v>
      </c>
    </row>
    <row r="102" spans="1:4" x14ac:dyDescent="0.25">
      <c r="A102" s="4" t="s">
        <v>356</v>
      </c>
      <c r="B102" s="4" t="s">
        <v>111</v>
      </c>
      <c r="C102" s="17" t="str">
        <f t="shared" si="1"/>
        <v>EU</v>
      </c>
      <c r="D102" s="12">
        <v>0</v>
      </c>
    </row>
    <row r="103" spans="1:4" x14ac:dyDescent="0.25">
      <c r="A103" s="4" t="s">
        <v>357</v>
      </c>
      <c r="B103" s="4" t="s">
        <v>111</v>
      </c>
      <c r="C103" s="17" t="str">
        <f t="shared" si="1"/>
        <v>EU</v>
      </c>
      <c r="D103" s="12">
        <v>0</v>
      </c>
    </row>
    <row r="104" spans="1:4" x14ac:dyDescent="0.25">
      <c r="A104" s="4" t="s">
        <v>358</v>
      </c>
      <c r="B104" s="4" t="s">
        <v>111</v>
      </c>
      <c r="C104" s="17" t="str">
        <f t="shared" si="1"/>
        <v>EU</v>
      </c>
      <c r="D104" s="12">
        <v>0</v>
      </c>
    </row>
    <row r="105" spans="1:4" x14ac:dyDescent="0.25">
      <c r="A105" s="4" t="s">
        <v>359</v>
      </c>
      <c r="B105" s="4" t="s">
        <v>111</v>
      </c>
      <c r="C105" s="17" t="str">
        <f t="shared" si="1"/>
        <v>EU</v>
      </c>
      <c r="D105" s="12">
        <v>0</v>
      </c>
    </row>
    <row r="106" spans="1:4" x14ac:dyDescent="0.25">
      <c r="A106" s="20" t="s">
        <v>340</v>
      </c>
      <c r="B106" s="4" t="s">
        <v>109</v>
      </c>
      <c r="C106" s="17" t="str">
        <f t="shared" si="1"/>
        <v>KR</v>
      </c>
      <c r="D106" s="12">
        <v>0</v>
      </c>
    </row>
    <row r="107" spans="1:4" x14ac:dyDescent="0.25">
      <c r="A107" s="4" t="s">
        <v>341</v>
      </c>
      <c r="B107" s="4" t="s">
        <v>109</v>
      </c>
      <c r="C107" s="17" t="str">
        <f t="shared" si="1"/>
        <v>KR</v>
      </c>
      <c r="D107" s="12">
        <v>0</v>
      </c>
    </row>
    <row r="108" spans="1:4" x14ac:dyDescent="0.25">
      <c r="A108" s="4" t="s">
        <v>342</v>
      </c>
      <c r="B108" s="4" t="s">
        <v>109</v>
      </c>
      <c r="C108" s="17" t="str">
        <f t="shared" si="1"/>
        <v>KR</v>
      </c>
      <c r="D108" s="12">
        <v>0</v>
      </c>
    </row>
    <row r="109" spans="1:4" x14ac:dyDescent="0.25">
      <c r="A109" s="4" t="s">
        <v>343</v>
      </c>
      <c r="B109" s="4" t="s">
        <v>109</v>
      </c>
      <c r="C109" s="17" t="str">
        <f t="shared" si="1"/>
        <v>KR</v>
      </c>
      <c r="D109" s="12">
        <v>0</v>
      </c>
    </row>
    <row r="110" spans="1:4" x14ac:dyDescent="0.25">
      <c r="A110" s="4" t="s">
        <v>344</v>
      </c>
      <c r="B110" s="4" t="s">
        <v>109</v>
      </c>
      <c r="C110" s="17" t="str">
        <f t="shared" si="1"/>
        <v>KR</v>
      </c>
      <c r="D110" s="12">
        <v>0</v>
      </c>
    </row>
    <row r="111" spans="1:4" x14ac:dyDescent="0.25">
      <c r="A111" s="4" t="s">
        <v>345</v>
      </c>
      <c r="B111" s="4" t="s">
        <v>109</v>
      </c>
      <c r="C111" s="17" t="str">
        <f t="shared" si="1"/>
        <v>KR</v>
      </c>
      <c r="D111" s="12">
        <v>0</v>
      </c>
    </row>
    <row r="112" spans="1:4" x14ac:dyDescent="0.25">
      <c r="A112" s="4" t="s">
        <v>346</v>
      </c>
      <c r="B112" s="4" t="s">
        <v>109</v>
      </c>
      <c r="C112" s="17" t="str">
        <f t="shared" si="1"/>
        <v>KR</v>
      </c>
      <c r="D112" s="12">
        <v>0</v>
      </c>
    </row>
    <row r="113" spans="1:4" x14ac:dyDescent="0.25">
      <c r="A113" s="4" t="s">
        <v>347</v>
      </c>
      <c r="B113" s="4" t="s">
        <v>109</v>
      </c>
      <c r="C113" s="17" t="str">
        <f t="shared" si="1"/>
        <v>KR</v>
      </c>
      <c r="D113" s="12">
        <v>0</v>
      </c>
    </row>
    <row r="114" spans="1:4" x14ac:dyDescent="0.25">
      <c r="A114" s="4" t="s">
        <v>348</v>
      </c>
      <c r="B114" s="4" t="s">
        <v>109</v>
      </c>
      <c r="C114" s="17" t="str">
        <f t="shared" si="1"/>
        <v>KR</v>
      </c>
      <c r="D114" s="12">
        <v>0</v>
      </c>
    </row>
    <row r="115" spans="1:4" x14ac:dyDescent="0.25">
      <c r="A115" s="4" t="s">
        <v>349</v>
      </c>
      <c r="B115" s="4" t="s">
        <v>109</v>
      </c>
      <c r="C115" s="17" t="str">
        <f t="shared" si="1"/>
        <v>KR</v>
      </c>
      <c r="D115" s="12">
        <v>0</v>
      </c>
    </row>
    <row r="116" spans="1:4" x14ac:dyDescent="0.25">
      <c r="A116" s="4" t="s">
        <v>350</v>
      </c>
      <c r="B116" s="4" t="s">
        <v>109</v>
      </c>
      <c r="C116" s="17" t="str">
        <f t="shared" si="1"/>
        <v>KR</v>
      </c>
      <c r="D116" s="12">
        <v>0</v>
      </c>
    </row>
    <row r="117" spans="1:4" x14ac:dyDescent="0.25">
      <c r="A117" s="4" t="s">
        <v>351</v>
      </c>
      <c r="B117" s="4" t="s">
        <v>109</v>
      </c>
      <c r="C117" s="17" t="str">
        <f t="shared" si="1"/>
        <v>KR</v>
      </c>
      <c r="D117" s="12">
        <v>0</v>
      </c>
    </row>
    <row r="118" spans="1:4" x14ac:dyDescent="0.25">
      <c r="A118" s="4" t="s">
        <v>352</v>
      </c>
      <c r="B118" s="4" t="s">
        <v>109</v>
      </c>
      <c r="C118" s="17" t="str">
        <f t="shared" si="1"/>
        <v>KR</v>
      </c>
      <c r="D118" s="12">
        <v>0</v>
      </c>
    </row>
    <row r="119" spans="1:4" x14ac:dyDescent="0.25">
      <c r="A119" s="4" t="s">
        <v>353</v>
      </c>
      <c r="B119" s="4" t="s">
        <v>109</v>
      </c>
      <c r="C119" s="17" t="str">
        <f t="shared" si="1"/>
        <v>KR</v>
      </c>
      <c r="D119" s="12">
        <v>0</v>
      </c>
    </row>
    <row r="120" spans="1:4" x14ac:dyDescent="0.25">
      <c r="A120" s="4" t="s">
        <v>354</v>
      </c>
      <c r="B120" s="4" t="s">
        <v>109</v>
      </c>
      <c r="C120" s="17" t="str">
        <f t="shared" si="1"/>
        <v>KR</v>
      </c>
      <c r="D120" s="12">
        <v>0</v>
      </c>
    </row>
    <row r="121" spans="1:4" x14ac:dyDescent="0.25">
      <c r="A121" s="4" t="s">
        <v>355</v>
      </c>
      <c r="B121" s="4" t="s">
        <v>109</v>
      </c>
      <c r="C121" s="17" t="str">
        <f t="shared" si="1"/>
        <v>KR</v>
      </c>
      <c r="D121" s="12">
        <v>0</v>
      </c>
    </row>
    <row r="122" spans="1:4" x14ac:dyDescent="0.25">
      <c r="A122" s="4" t="s">
        <v>356</v>
      </c>
      <c r="B122" s="4" t="s">
        <v>109</v>
      </c>
      <c r="C122" s="17" t="str">
        <f t="shared" si="1"/>
        <v>KR</v>
      </c>
      <c r="D122" s="12">
        <v>0</v>
      </c>
    </row>
    <row r="123" spans="1:4" x14ac:dyDescent="0.25">
      <c r="A123" s="4" t="s">
        <v>357</v>
      </c>
      <c r="B123" s="4" t="s">
        <v>109</v>
      </c>
      <c r="C123" s="17" t="str">
        <f t="shared" si="1"/>
        <v>KR</v>
      </c>
      <c r="D123" s="12">
        <v>0</v>
      </c>
    </row>
    <row r="124" spans="1:4" x14ac:dyDescent="0.25">
      <c r="A124" s="4" t="s">
        <v>358</v>
      </c>
      <c r="B124" s="4" t="s">
        <v>109</v>
      </c>
      <c r="C124" s="17" t="str">
        <f t="shared" si="1"/>
        <v>KR</v>
      </c>
      <c r="D124" s="12">
        <v>0</v>
      </c>
    </row>
    <row r="125" spans="1:4" x14ac:dyDescent="0.25">
      <c r="A125" s="4" t="s">
        <v>359</v>
      </c>
      <c r="B125" s="4" t="s">
        <v>109</v>
      </c>
      <c r="C125" s="17" t="str">
        <f t="shared" si="1"/>
        <v>KR</v>
      </c>
      <c r="D125" s="12">
        <v>0</v>
      </c>
    </row>
    <row r="126" spans="1:4" x14ac:dyDescent="0.25">
      <c r="A126" s="20" t="s">
        <v>340</v>
      </c>
      <c r="B126" s="4" t="s">
        <v>110</v>
      </c>
      <c r="C126" s="17" t="str">
        <f t="shared" si="1"/>
        <v>IN</v>
      </c>
      <c r="D126" s="12">
        <v>0</v>
      </c>
    </row>
    <row r="127" spans="1:4" x14ac:dyDescent="0.25">
      <c r="A127" s="4" t="s">
        <v>341</v>
      </c>
      <c r="B127" s="4" t="s">
        <v>110</v>
      </c>
      <c r="C127" s="17" t="str">
        <f t="shared" si="1"/>
        <v>IN</v>
      </c>
      <c r="D127" s="12">
        <v>0</v>
      </c>
    </row>
    <row r="128" spans="1:4" x14ac:dyDescent="0.25">
      <c r="A128" s="4" t="s">
        <v>342</v>
      </c>
      <c r="B128" s="4" t="s">
        <v>110</v>
      </c>
      <c r="C128" s="17" t="str">
        <f t="shared" si="1"/>
        <v>IN</v>
      </c>
      <c r="D128" s="12">
        <v>0</v>
      </c>
    </row>
    <row r="129" spans="1:4" x14ac:dyDescent="0.25">
      <c r="A129" s="4" t="s">
        <v>343</v>
      </c>
      <c r="B129" s="4" t="s">
        <v>110</v>
      </c>
      <c r="C129" s="17" t="str">
        <f t="shared" si="1"/>
        <v>IN</v>
      </c>
      <c r="D129" s="12">
        <v>0</v>
      </c>
    </row>
    <row r="130" spans="1:4" x14ac:dyDescent="0.25">
      <c r="A130" s="4" t="s">
        <v>344</v>
      </c>
      <c r="B130" s="4" t="s">
        <v>110</v>
      </c>
      <c r="C130" s="17" t="str">
        <f t="shared" ref="C130:C193" si="2">VLOOKUP(B130, quota_order_numbers2, 6, FALSE)</f>
        <v>IN</v>
      </c>
      <c r="D130" s="12">
        <v>0</v>
      </c>
    </row>
    <row r="131" spans="1:4" x14ac:dyDescent="0.25">
      <c r="A131" s="4" t="s">
        <v>345</v>
      </c>
      <c r="B131" s="4" t="s">
        <v>110</v>
      </c>
      <c r="C131" s="17" t="str">
        <f t="shared" si="2"/>
        <v>IN</v>
      </c>
      <c r="D131" s="12">
        <v>0</v>
      </c>
    </row>
    <row r="132" spans="1:4" x14ac:dyDescent="0.25">
      <c r="A132" s="4" t="s">
        <v>346</v>
      </c>
      <c r="B132" s="4" t="s">
        <v>110</v>
      </c>
      <c r="C132" s="17" t="str">
        <f t="shared" si="2"/>
        <v>IN</v>
      </c>
      <c r="D132" s="12">
        <v>0</v>
      </c>
    </row>
    <row r="133" spans="1:4" x14ac:dyDescent="0.25">
      <c r="A133" s="4" t="s">
        <v>347</v>
      </c>
      <c r="B133" s="4" t="s">
        <v>110</v>
      </c>
      <c r="C133" s="17" t="str">
        <f t="shared" si="2"/>
        <v>IN</v>
      </c>
      <c r="D133" s="12">
        <v>0</v>
      </c>
    </row>
    <row r="134" spans="1:4" x14ac:dyDescent="0.25">
      <c r="A134" s="4" t="s">
        <v>348</v>
      </c>
      <c r="B134" s="4" t="s">
        <v>110</v>
      </c>
      <c r="C134" s="17" t="str">
        <f t="shared" si="2"/>
        <v>IN</v>
      </c>
      <c r="D134" s="12">
        <v>0</v>
      </c>
    </row>
    <row r="135" spans="1:4" x14ac:dyDescent="0.25">
      <c r="A135" s="4" t="s">
        <v>349</v>
      </c>
      <c r="B135" s="4" t="s">
        <v>110</v>
      </c>
      <c r="C135" s="17" t="str">
        <f t="shared" si="2"/>
        <v>IN</v>
      </c>
      <c r="D135" s="12">
        <v>0</v>
      </c>
    </row>
    <row r="136" spans="1:4" x14ac:dyDescent="0.25">
      <c r="A136" s="4" t="s">
        <v>350</v>
      </c>
      <c r="B136" s="4" t="s">
        <v>110</v>
      </c>
      <c r="C136" s="17" t="str">
        <f t="shared" si="2"/>
        <v>IN</v>
      </c>
      <c r="D136" s="12">
        <v>0</v>
      </c>
    </row>
    <row r="137" spans="1:4" x14ac:dyDescent="0.25">
      <c r="A137" s="4" t="s">
        <v>351</v>
      </c>
      <c r="B137" s="4" t="s">
        <v>110</v>
      </c>
      <c r="C137" s="17" t="str">
        <f t="shared" si="2"/>
        <v>IN</v>
      </c>
      <c r="D137" s="12">
        <v>0</v>
      </c>
    </row>
    <row r="138" spans="1:4" x14ac:dyDescent="0.25">
      <c r="A138" s="4" t="s">
        <v>352</v>
      </c>
      <c r="B138" s="4" t="s">
        <v>110</v>
      </c>
      <c r="C138" s="17" t="str">
        <f t="shared" si="2"/>
        <v>IN</v>
      </c>
      <c r="D138" s="12">
        <v>0</v>
      </c>
    </row>
    <row r="139" spans="1:4" x14ac:dyDescent="0.25">
      <c r="A139" s="4" t="s">
        <v>353</v>
      </c>
      <c r="B139" s="4" t="s">
        <v>110</v>
      </c>
      <c r="C139" s="17" t="str">
        <f t="shared" si="2"/>
        <v>IN</v>
      </c>
      <c r="D139" s="12">
        <v>0</v>
      </c>
    </row>
    <row r="140" spans="1:4" x14ac:dyDescent="0.25">
      <c r="A140" s="4" t="s">
        <v>354</v>
      </c>
      <c r="B140" s="4" t="s">
        <v>110</v>
      </c>
      <c r="C140" s="17" t="str">
        <f t="shared" si="2"/>
        <v>IN</v>
      </c>
      <c r="D140" s="12">
        <v>0</v>
      </c>
    </row>
    <row r="141" spans="1:4" x14ac:dyDescent="0.25">
      <c r="A141" s="4" t="s">
        <v>355</v>
      </c>
      <c r="B141" s="4" t="s">
        <v>110</v>
      </c>
      <c r="C141" s="17" t="str">
        <f t="shared" si="2"/>
        <v>IN</v>
      </c>
      <c r="D141" s="12">
        <v>0</v>
      </c>
    </row>
    <row r="142" spans="1:4" x14ac:dyDescent="0.25">
      <c r="A142" s="4" t="s">
        <v>356</v>
      </c>
      <c r="B142" s="4" t="s">
        <v>110</v>
      </c>
      <c r="C142" s="17" t="str">
        <f t="shared" si="2"/>
        <v>IN</v>
      </c>
      <c r="D142" s="12">
        <v>0</v>
      </c>
    </row>
    <row r="143" spans="1:4" x14ac:dyDescent="0.25">
      <c r="A143" s="4" t="s">
        <v>357</v>
      </c>
      <c r="B143" s="4" t="s">
        <v>110</v>
      </c>
      <c r="C143" s="17" t="str">
        <f t="shared" si="2"/>
        <v>IN</v>
      </c>
      <c r="D143" s="12">
        <v>0</v>
      </c>
    </row>
    <row r="144" spans="1:4" x14ac:dyDescent="0.25">
      <c r="A144" s="4" t="s">
        <v>358</v>
      </c>
      <c r="B144" s="4" t="s">
        <v>110</v>
      </c>
      <c r="C144" s="17" t="str">
        <f t="shared" si="2"/>
        <v>IN</v>
      </c>
      <c r="D144" s="12">
        <v>0</v>
      </c>
    </row>
    <row r="145" spans="1:4" x14ac:dyDescent="0.25">
      <c r="A145" s="4" t="s">
        <v>359</v>
      </c>
      <c r="B145" s="4" t="s">
        <v>110</v>
      </c>
      <c r="C145" s="17" t="str">
        <f t="shared" si="2"/>
        <v>IN</v>
      </c>
      <c r="D145" s="12">
        <v>0</v>
      </c>
    </row>
    <row r="146" spans="1:4" x14ac:dyDescent="0.25">
      <c r="A146" s="20" t="s">
        <v>340</v>
      </c>
      <c r="B146" s="4" t="s">
        <v>171</v>
      </c>
      <c r="C146" s="17" t="str">
        <f t="shared" si="2"/>
        <v>5002</v>
      </c>
      <c r="D146" s="12">
        <v>0</v>
      </c>
    </row>
    <row r="147" spans="1:4" x14ac:dyDescent="0.25">
      <c r="A147" s="4" t="s">
        <v>341</v>
      </c>
      <c r="B147" s="4" t="s">
        <v>171</v>
      </c>
      <c r="C147" s="17" t="str">
        <f t="shared" si="2"/>
        <v>5002</v>
      </c>
      <c r="D147" s="12">
        <v>0</v>
      </c>
    </row>
    <row r="148" spans="1:4" x14ac:dyDescent="0.25">
      <c r="A148" s="4" t="s">
        <v>342</v>
      </c>
      <c r="B148" s="4" t="s">
        <v>171</v>
      </c>
      <c r="C148" s="17" t="str">
        <f t="shared" si="2"/>
        <v>5002</v>
      </c>
      <c r="D148" s="12">
        <v>0</v>
      </c>
    </row>
    <row r="149" spans="1:4" x14ac:dyDescent="0.25">
      <c r="A149" s="4" t="s">
        <v>343</v>
      </c>
      <c r="B149" s="4" t="s">
        <v>171</v>
      </c>
      <c r="C149" s="17" t="str">
        <f t="shared" si="2"/>
        <v>5002</v>
      </c>
      <c r="D149" s="12">
        <v>0</v>
      </c>
    </row>
    <row r="150" spans="1:4" x14ac:dyDescent="0.25">
      <c r="A150" s="4" t="s">
        <v>344</v>
      </c>
      <c r="B150" s="4" t="s">
        <v>171</v>
      </c>
      <c r="C150" s="17" t="str">
        <f t="shared" si="2"/>
        <v>5002</v>
      </c>
      <c r="D150" s="12">
        <v>0</v>
      </c>
    </row>
    <row r="151" spans="1:4" x14ac:dyDescent="0.25">
      <c r="A151" s="4" t="s">
        <v>345</v>
      </c>
      <c r="B151" s="4" t="s">
        <v>171</v>
      </c>
      <c r="C151" s="17" t="str">
        <f t="shared" si="2"/>
        <v>5002</v>
      </c>
      <c r="D151" s="12">
        <v>0</v>
      </c>
    </row>
    <row r="152" spans="1:4" x14ac:dyDescent="0.25">
      <c r="A152" s="4" t="s">
        <v>346</v>
      </c>
      <c r="B152" s="4" t="s">
        <v>171</v>
      </c>
      <c r="C152" s="17" t="str">
        <f t="shared" si="2"/>
        <v>5002</v>
      </c>
      <c r="D152" s="12">
        <v>0</v>
      </c>
    </row>
    <row r="153" spans="1:4" x14ac:dyDescent="0.25">
      <c r="A153" s="4" t="s">
        <v>347</v>
      </c>
      <c r="B153" s="4" t="s">
        <v>171</v>
      </c>
      <c r="C153" s="17" t="str">
        <f t="shared" si="2"/>
        <v>5002</v>
      </c>
      <c r="D153" s="12">
        <v>0</v>
      </c>
    </row>
    <row r="154" spans="1:4" x14ac:dyDescent="0.25">
      <c r="A154" s="4" t="s">
        <v>348</v>
      </c>
      <c r="B154" s="4" t="s">
        <v>171</v>
      </c>
      <c r="C154" s="17" t="str">
        <f t="shared" si="2"/>
        <v>5002</v>
      </c>
      <c r="D154" s="12">
        <v>0</v>
      </c>
    </row>
    <row r="155" spans="1:4" x14ac:dyDescent="0.25">
      <c r="A155" s="4" t="s">
        <v>349</v>
      </c>
      <c r="B155" s="4" t="s">
        <v>171</v>
      </c>
      <c r="C155" s="17" t="str">
        <f t="shared" si="2"/>
        <v>5002</v>
      </c>
      <c r="D155" s="12">
        <v>0</v>
      </c>
    </row>
    <row r="156" spans="1:4" x14ac:dyDescent="0.25">
      <c r="A156" s="4" t="s">
        <v>350</v>
      </c>
      <c r="B156" s="4" t="s">
        <v>171</v>
      </c>
      <c r="C156" s="17" t="str">
        <f t="shared" si="2"/>
        <v>5002</v>
      </c>
      <c r="D156" s="12">
        <v>0</v>
      </c>
    </row>
    <row r="157" spans="1:4" x14ac:dyDescent="0.25">
      <c r="A157" s="4" t="s">
        <v>351</v>
      </c>
      <c r="B157" s="4" t="s">
        <v>171</v>
      </c>
      <c r="C157" s="17" t="str">
        <f t="shared" si="2"/>
        <v>5002</v>
      </c>
      <c r="D157" s="12">
        <v>0</v>
      </c>
    </row>
    <row r="158" spans="1:4" x14ac:dyDescent="0.25">
      <c r="A158" s="4" t="s">
        <v>352</v>
      </c>
      <c r="B158" s="4" t="s">
        <v>171</v>
      </c>
      <c r="C158" s="17" t="str">
        <f t="shared" si="2"/>
        <v>5002</v>
      </c>
      <c r="D158" s="12">
        <v>0</v>
      </c>
    </row>
    <row r="159" spans="1:4" x14ac:dyDescent="0.25">
      <c r="A159" s="4" t="s">
        <v>353</v>
      </c>
      <c r="B159" s="4" t="s">
        <v>171</v>
      </c>
      <c r="C159" s="17" t="str">
        <f t="shared" si="2"/>
        <v>5002</v>
      </c>
      <c r="D159" s="12">
        <v>0</v>
      </c>
    </row>
    <row r="160" spans="1:4" x14ac:dyDescent="0.25">
      <c r="A160" s="4" t="s">
        <v>354</v>
      </c>
      <c r="B160" s="4" t="s">
        <v>171</v>
      </c>
      <c r="C160" s="17" t="str">
        <f t="shared" si="2"/>
        <v>5002</v>
      </c>
      <c r="D160" s="12">
        <v>0</v>
      </c>
    </row>
    <row r="161" spans="1:4" x14ac:dyDescent="0.25">
      <c r="A161" s="4" t="s">
        <v>355</v>
      </c>
      <c r="B161" s="4" t="s">
        <v>171</v>
      </c>
      <c r="C161" s="17" t="str">
        <f t="shared" si="2"/>
        <v>5002</v>
      </c>
      <c r="D161" s="12">
        <v>0</v>
      </c>
    </row>
    <row r="162" spans="1:4" x14ac:dyDescent="0.25">
      <c r="A162" s="4" t="s">
        <v>356</v>
      </c>
      <c r="B162" s="4" t="s">
        <v>171</v>
      </c>
      <c r="C162" s="17" t="str">
        <f t="shared" si="2"/>
        <v>5002</v>
      </c>
      <c r="D162" s="12">
        <v>0</v>
      </c>
    </row>
    <row r="163" spans="1:4" x14ac:dyDescent="0.25">
      <c r="A163" s="4" t="s">
        <v>357</v>
      </c>
      <c r="B163" s="4" t="s">
        <v>171</v>
      </c>
      <c r="C163" s="17" t="str">
        <f t="shared" si="2"/>
        <v>5002</v>
      </c>
      <c r="D163" s="12">
        <v>0</v>
      </c>
    </row>
    <row r="164" spans="1:4" x14ac:dyDescent="0.25">
      <c r="A164" s="4" t="s">
        <v>358</v>
      </c>
      <c r="B164" s="4" t="s">
        <v>171</v>
      </c>
      <c r="C164" s="17" t="str">
        <f t="shared" si="2"/>
        <v>5002</v>
      </c>
      <c r="D164" s="12">
        <v>0</v>
      </c>
    </row>
    <row r="165" spans="1:4" x14ac:dyDescent="0.25">
      <c r="A165" s="4" t="s">
        <v>359</v>
      </c>
      <c r="B165" s="4" t="s">
        <v>171</v>
      </c>
      <c r="C165" s="17" t="str">
        <f t="shared" si="2"/>
        <v>5002</v>
      </c>
      <c r="D165" s="12">
        <v>0</v>
      </c>
    </row>
    <row r="166" spans="1:4" x14ac:dyDescent="0.25">
      <c r="A166" s="20" t="s">
        <v>360</v>
      </c>
      <c r="B166" s="4" t="s">
        <v>112</v>
      </c>
      <c r="C166" s="17" t="str">
        <f t="shared" si="2"/>
        <v>EU</v>
      </c>
      <c r="D166" s="12">
        <v>0</v>
      </c>
    </row>
    <row r="167" spans="1:4" x14ac:dyDescent="0.25">
      <c r="A167" s="4" t="s">
        <v>361</v>
      </c>
      <c r="B167" s="4" t="s">
        <v>112</v>
      </c>
      <c r="C167" s="17" t="str">
        <f t="shared" si="2"/>
        <v>EU</v>
      </c>
      <c r="D167" s="12">
        <v>0</v>
      </c>
    </row>
    <row r="168" spans="1:4" x14ac:dyDescent="0.25">
      <c r="A168" s="20" t="s">
        <v>360</v>
      </c>
      <c r="B168" s="4" t="s">
        <v>172</v>
      </c>
      <c r="C168" s="17" t="str">
        <f t="shared" si="2"/>
        <v>KR</v>
      </c>
      <c r="D168" s="12">
        <v>0</v>
      </c>
    </row>
    <row r="169" spans="1:4" x14ac:dyDescent="0.25">
      <c r="A169" s="4" t="s">
        <v>361</v>
      </c>
      <c r="B169" s="4" t="s">
        <v>172</v>
      </c>
      <c r="C169" s="17" t="str">
        <f t="shared" si="2"/>
        <v>KR</v>
      </c>
      <c r="D169" s="12">
        <v>0</v>
      </c>
    </row>
    <row r="170" spans="1:4" x14ac:dyDescent="0.25">
      <c r="A170" s="20" t="s">
        <v>360</v>
      </c>
      <c r="B170" s="4" t="s">
        <v>173</v>
      </c>
      <c r="C170" s="17" t="str">
        <f t="shared" si="2"/>
        <v>5002</v>
      </c>
      <c r="D170" s="12">
        <v>0</v>
      </c>
    </row>
    <row r="171" spans="1:4" x14ac:dyDescent="0.25">
      <c r="A171" s="4" t="s">
        <v>361</v>
      </c>
      <c r="B171" s="4" t="s">
        <v>173</v>
      </c>
      <c r="C171" s="17" t="str">
        <f t="shared" si="2"/>
        <v>5002</v>
      </c>
      <c r="D171" s="12">
        <v>0</v>
      </c>
    </row>
    <row r="172" spans="1:4" x14ac:dyDescent="0.25">
      <c r="A172" s="20" t="s">
        <v>362</v>
      </c>
      <c r="B172" s="4" t="s">
        <v>113</v>
      </c>
      <c r="C172" s="17" t="str">
        <f t="shared" si="2"/>
        <v>EU</v>
      </c>
      <c r="D172" s="12">
        <v>0</v>
      </c>
    </row>
    <row r="173" spans="1:4" x14ac:dyDescent="0.25">
      <c r="A173" s="4" t="s">
        <v>363</v>
      </c>
      <c r="B173" s="4" t="s">
        <v>113</v>
      </c>
      <c r="C173" s="17" t="str">
        <f t="shared" si="2"/>
        <v>EU</v>
      </c>
      <c r="D173" s="12">
        <v>0</v>
      </c>
    </row>
    <row r="174" spans="1:4" x14ac:dyDescent="0.25">
      <c r="A174" s="4" t="s">
        <v>364</v>
      </c>
      <c r="B174" s="4" t="s">
        <v>113</v>
      </c>
      <c r="C174" s="17" t="str">
        <f t="shared" si="2"/>
        <v>EU</v>
      </c>
      <c r="D174" s="12">
        <v>0</v>
      </c>
    </row>
    <row r="175" spans="1:4" x14ac:dyDescent="0.25">
      <c r="A175" s="4" t="s">
        <v>365</v>
      </c>
      <c r="B175" s="4" t="s">
        <v>113</v>
      </c>
      <c r="C175" s="17" t="str">
        <f t="shared" si="2"/>
        <v>EU</v>
      </c>
      <c r="D175" s="12">
        <v>0</v>
      </c>
    </row>
    <row r="176" spans="1:4" x14ac:dyDescent="0.25">
      <c r="A176" s="4" t="s">
        <v>366</v>
      </c>
      <c r="B176" s="4" t="s">
        <v>113</v>
      </c>
      <c r="C176" s="17" t="str">
        <f t="shared" si="2"/>
        <v>EU</v>
      </c>
      <c r="D176" s="12">
        <v>0</v>
      </c>
    </row>
    <row r="177" spans="1:4" x14ac:dyDescent="0.25">
      <c r="A177" s="4" t="s">
        <v>367</v>
      </c>
      <c r="B177" s="4" t="s">
        <v>113</v>
      </c>
      <c r="C177" s="17" t="str">
        <f t="shared" si="2"/>
        <v>EU</v>
      </c>
      <c r="D177" s="12">
        <v>0</v>
      </c>
    </row>
    <row r="178" spans="1:4" x14ac:dyDescent="0.25">
      <c r="A178" s="4" t="s">
        <v>368</v>
      </c>
      <c r="B178" s="4" t="s">
        <v>113</v>
      </c>
      <c r="C178" s="17" t="str">
        <f t="shared" si="2"/>
        <v>EU</v>
      </c>
      <c r="D178" s="12">
        <v>0</v>
      </c>
    </row>
    <row r="179" spans="1:4" x14ac:dyDescent="0.25">
      <c r="A179" s="4" t="s">
        <v>369</v>
      </c>
      <c r="B179" s="4" t="s">
        <v>113</v>
      </c>
      <c r="C179" s="17" t="str">
        <f t="shared" si="2"/>
        <v>EU</v>
      </c>
      <c r="D179" s="12">
        <v>0</v>
      </c>
    </row>
    <row r="180" spans="1:4" x14ac:dyDescent="0.25">
      <c r="A180" s="4" t="s">
        <v>370</v>
      </c>
      <c r="B180" s="4" t="s">
        <v>113</v>
      </c>
      <c r="C180" s="17" t="str">
        <f t="shared" si="2"/>
        <v>EU</v>
      </c>
      <c r="D180" s="12">
        <v>0</v>
      </c>
    </row>
    <row r="181" spans="1:4" x14ac:dyDescent="0.25">
      <c r="A181" s="4" t="s">
        <v>371</v>
      </c>
      <c r="B181" s="4" t="s">
        <v>113</v>
      </c>
      <c r="C181" s="17" t="str">
        <f t="shared" si="2"/>
        <v>EU</v>
      </c>
      <c r="D181" s="12">
        <v>0</v>
      </c>
    </row>
    <row r="182" spans="1:4" x14ac:dyDescent="0.25">
      <c r="A182" s="20" t="s">
        <v>362</v>
      </c>
      <c r="B182" s="4" t="s">
        <v>175</v>
      </c>
      <c r="C182" s="17" t="str">
        <f t="shared" si="2"/>
        <v>CN</v>
      </c>
      <c r="D182" s="12">
        <v>0</v>
      </c>
    </row>
    <row r="183" spans="1:4" x14ac:dyDescent="0.25">
      <c r="A183" s="4" t="s">
        <v>363</v>
      </c>
      <c r="B183" s="4" t="s">
        <v>175</v>
      </c>
      <c r="C183" s="17" t="str">
        <f t="shared" si="2"/>
        <v>CN</v>
      </c>
      <c r="D183" s="12">
        <v>0</v>
      </c>
    </row>
    <row r="184" spans="1:4" x14ac:dyDescent="0.25">
      <c r="A184" s="4" t="s">
        <v>364</v>
      </c>
      <c r="B184" s="4" t="s">
        <v>175</v>
      </c>
      <c r="C184" s="17" t="str">
        <f t="shared" si="2"/>
        <v>CN</v>
      </c>
      <c r="D184" s="12">
        <v>0</v>
      </c>
    </row>
    <row r="185" spans="1:4" x14ac:dyDescent="0.25">
      <c r="A185" s="4" t="s">
        <v>365</v>
      </c>
      <c r="B185" s="4" t="s">
        <v>175</v>
      </c>
      <c r="C185" s="17" t="str">
        <f t="shared" si="2"/>
        <v>CN</v>
      </c>
      <c r="D185" s="12">
        <v>0</v>
      </c>
    </row>
    <row r="186" spans="1:4" x14ac:dyDescent="0.25">
      <c r="A186" s="4" t="s">
        <v>366</v>
      </c>
      <c r="B186" s="4" t="s">
        <v>175</v>
      </c>
      <c r="C186" s="17" t="str">
        <f t="shared" si="2"/>
        <v>CN</v>
      </c>
      <c r="D186" s="12">
        <v>0</v>
      </c>
    </row>
    <row r="187" spans="1:4" x14ac:dyDescent="0.25">
      <c r="A187" s="4" t="s">
        <v>367</v>
      </c>
      <c r="B187" s="4" t="s">
        <v>175</v>
      </c>
      <c r="C187" s="17" t="str">
        <f t="shared" si="2"/>
        <v>CN</v>
      </c>
      <c r="D187" s="12">
        <v>0</v>
      </c>
    </row>
    <row r="188" spans="1:4" x14ac:dyDescent="0.25">
      <c r="A188" s="4" t="s">
        <v>368</v>
      </c>
      <c r="B188" s="4" t="s">
        <v>175</v>
      </c>
      <c r="C188" s="17" t="str">
        <f t="shared" si="2"/>
        <v>CN</v>
      </c>
      <c r="D188" s="12">
        <v>0</v>
      </c>
    </row>
    <row r="189" spans="1:4" x14ac:dyDescent="0.25">
      <c r="A189" s="4" t="s">
        <v>369</v>
      </c>
      <c r="B189" s="4" t="s">
        <v>175</v>
      </c>
      <c r="C189" s="17" t="str">
        <f t="shared" si="2"/>
        <v>CN</v>
      </c>
      <c r="D189" s="12">
        <v>0</v>
      </c>
    </row>
    <row r="190" spans="1:4" x14ac:dyDescent="0.25">
      <c r="A190" s="4" t="s">
        <v>370</v>
      </c>
      <c r="B190" s="4" t="s">
        <v>175</v>
      </c>
      <c r="C190" s="17" t="str">
        <f t="shared" si="2"/>
        <v>CN</v>
      </c>
      <c r="D190" s="12">
        <v>0</v>
      </c>
    </row>
    <row r="191" spans="1:4" x14ac:dyDescent="0.25">
      <c r="A191" s="4" t="s">
        <v>371</v>
      </c>
      <c r="B191" s="4" t="s">
        <v>175</v>
      </c>
      <c r="C191" s="17" t="str">
        <f t="shared" si="2"/>
        <v>CN</v>
      </c>
      <c r="D191" s="12">
        <v>0</v>
      </c>
    </row>
    <row r="192" spans="1:4" x14ac:dyDescent="0.25">
      <c r="A192" s="20" t="s">
        <v>362</v>
      </c>
      <c r="B192" s="4" t="s">
        <v>176</v>
      </c>
      <c r="C192" s="17" t="str">
        <f t="shared" si="2"/>
        <v>5002</v>
      </c>
      <c r="D192" s="12">
        <v>0</v>
      </c>
    </row>
    <row r="193" spans="1:4" x14ac:dyDescent="0.25">
      <c r="A193" s="4" t="s">
        <v>363</v>
      </c>
      <c r="B193" s="4" t="s">
        <v>176</v>
      </c>
      <c r="C193" s="17" t="str">
        <f t="shared" si="2"/>
        <v>5002</v>
      </c>
      <c r="D193" s="12">
        <v>0</v>
      </c>
    </row>
    <row r="194" spans="1:4" x14ac:dyDescent="0.25">
      <c r="A194" s="4" t="s">
        <v>364</v>
      </c>
      <c r="B194" s="4" t="s">
        <v>176</v>
      </c>
      <c r="C194" s="17" t="str">
        <f t="shared" ref="C194:C257" si="3">VLOOKUP(B194, quota_order_numbers2, 6, FALSE)</f>
        <v>5002</v>
      </c>
      <c r="D194" s="12">
        <v>0</v>
      </c>
    </row>
    <row r="195" spans="1:4" x14ac:dyDescent="0.25">
      <c r="A195" s="4" t="s">
        <v>365</v>
      </c>
      <c r="B195" s="4" t="s">
        <v>176</v>
      </c>
      <c r="C195" s="17" t="str">
        <f t="shared" si="3"/>
        <v>5002</v>
      </c>
      <c r="D195" s="12">
        <v>0</v>
      </c>
    </row>
    <row r="196" spans="1:4" x14ac:dyDescent="0.25">
      <c r="A196" s="4" t="s">
        <v>366</v>
      </c>
      <c r="B196" s="4" t="s">
        <v>176</v>
      </c>
      <c r="C196" s="17" t="str">
        <f t="shared" si="3"/>
        <v>5002</v>
      </c>
      <c r="D196" s="12">
        <v>0</v>
      </c>
    </row>
    <row r="197" spans="1:4" x14ac:dyDescent="0.25">
      <c r="A197" s="4" t="s">
        <v>367</v>
      </c>
      <c r="B197" s="4" t="s">
        <v>176</v>
      </c>
      <c r="C197" s="17" t="str">
        <f t="shared" si="3"/>
        <v>5002</v>
      </c>
      <c r="D197" s="12">
        <v>0</v>
      </c>
    </row>
    <row r="198" spans="1:4" x14ac:dyDescent="0.25">
      <c r="A198" s="4" t="s">
        <v>368</v>
      </c>
      <c r="B198" s="4" t="s">
        <v>176</v>
      </c>
      <c r="C198" s="17" t="str">
        <f t="shared" si="3"/>
        <v>5002</v>
      </c>
      <c r="D198" s="12">
        <v>0</v>
      </c>
    </row>
    <row r="199" spans="1:4" x14ac:dyDescent="0.25">
      <c r="A199" s="4" t="s">
        <v>369</v>
      </c>
      <c r="B199" s="4" t="s">
        <v>176</v>
      </c>
      <c r="C199" s="17" t="str">
        <f t="shared" si="3"/>
        <v>5002</v>
      </c>
      <c r="D199" s="12">
        <v>0</v>
      </c>
    </row>
    <row r="200" spans="1:4" x14ac:dyDescent="0.25">
      <c r="A200" s="4" t="s">
        <v>370</v>
      </c>
      <c r="B200" s="4" t="s">
        <v>176</v>
      </c>
      <c r="C200" s="17" t="str">
        <f t="shared" si="3"/>
        <v>5002</v>
      </c>
      <c r="D200" s="12">
        <v>0</v>
      </c>
    </row>
    <row r="201" spans="1:4" x14ac:dyDescent="0.25">
      <c r="A201" s="4" t="s">
        <v>371</v>
      </c>
      <c r="B201" s="4" t="s">
        <v>176</v>
      </c>
      <c r="C201" s="17" t="str">
        <f t="shared" si="3"/>
        <v>5002</v>
      </c>
      <c r="D201" s="12">
        <v>0</v>
      </c>
    </row>
    <row r="202" spans="1:4" x14ac:dyDescent="0.25">
      <c r="A202" s="20" t="s">
        <v>372</v>
      </c>
      <c r="B202" s="4" t="s">
        <v>114</v>
      </c>
      <c r="C202" s="17" t="str">
        <f t="shared" si="3"/>
        <v>EU</v>
      </c>
      <c r="D202" s="12">
        <v>0</v>
      </c>
    </row>
    <row r="203" spans="1:4" x14ac:dyDescent="0.25">
      <c r="A203" s="4" t="s">
        <v>373</v>
      </c>
      <c r="B203" s="4" t="s">
        <v>114</v>
      </c>
      <c r="C203" s="17" t="str">
        <f t="shared" si="3"/>
        <v>EU</v>
      </c>
      <c r="D203" s="12">
        <v>0</v>
      </c>
    </row>
    <row r="204" spans="1:4" x14ac:dyDescent="0.25">
      <c r="A204" s="4" t="s">
        <v>374</v>
      </c>
      <c r="B204" s="4" t="s">
        <v>114</v>
      </c>
      <c r="C204" s="17" t="str">
        <f t="shared" si="3"/>
        <v>EU</v>
      </c>
      <c r="D204" s="12">
        <v>0</v>
      </c>
    </row>
    <row r="205" spans="1:4" x14ac:dyDescent="0.25">
      <c r="A205" s="4" t="s">
        <v>375</v>
      </c>
      <c r="B205" s="4" t="s">
        <v>114</v>
      </c>
      <c r="C205" s="17" t="str">
        <f t="shared" si="3"/>
        <v>EU</v>
      </c>
      <c r="D205" s="12">
        <v>0</v>
      </c>
    </row>
    <row r="206" spans="1:4" x14ac:dyDescent="0.25">
      <c r="A206" s="4" t="s">
        <v>376</v>
      </c>
      <c r="B206" s="4" t="s">
        <v>114</v>
      </c>
      <c r="C206" s="17" t="str">
        <f t="shared" si="3"/>
        <v>EU</v>
      </c>
      <c r="D206" s="12">
        <v>0</v>
      </c>
    </row>
    <row r="207" spans="1:4" x14ac:dyDescent="0.25">
      <c r="A207" s="4" t="s">
        <v>377</v>
      </c>
      <c r="B207" s="4" t="s">
        <v>114</v>
      </c>
      <c r="C207" s="17" t="str">
        <f t="shared" si="3"/>
        <v>EU</v>
      </c>
      <c r="D207" s="12">
        <v>0</v>
      </c>
    </row>
    <row r="208" spans="1:4" x14ac:dyDescent="0.25">
      <c r="A208" s="4" t="s">
        <v>378</v>
      </c>
      <c r="B208" s="4" t="s">
        <v>114</v>
      </c>
      <c r="C208" s="17" t="str">
        <f t="shared" si="3"/>
        <v>EU</v>
      </c>
      <c r="D208" s="12">
        <v>0</v>
      </c>
    </row>
    <row r="209" spans="1:4" x14ac:dyDescent="0.25">
      <c r="A209" s="4" t="s">
        <v>379</v>
      </c>
      <c r="B209" s="4" t="s">
        <v>114</v>
      </c>
      <c r="C209" s="17" t="str">
        <f t="shared" si="3"/>
        <v>EU</v>
      </c>
      <c r="D209" s="12">
        <v>0</v>
      </c>
    </row>
    <row r="210" spans="1:4" x14ac:dyDescent="0.25">
      <c r="A210" s="4" t="s">
        <v>380</v>
      </c>
      <c r="B210" s="4" t="s">
        <v>114</v>
      </c>
      <c r="C210" s="17" t="str">
        <f t="shared" si="3"/>
        <v>EU</v>
      </c>
      <c r="D210" s="12">
        <v>0</v>
      </c>
    </row>
    <row r="211" spans="1:4" x14ac:dyDescent="0.25">
      <c r="A211" s="4" t="s">
        <v>381</v>
      </c>
      <c r="B211" s="4" t="s">
        <v>114</v>
      </c>
      <c r="C211" s="17" t="str">
        <f t="shared" si="3"/>
        <v>EU</v>
      </c>
      <c r="D211" s="12">
        <v>0</v>
      </c>
    </row>
    <row r="212" spans="1:4" x14ac:dyDescent="0.25">
      <c r="A212" s="20" t="s">
        <v>372</v>
      </c>
      <c r="B212" s="4" t="s">
        <v>178</v>
      </c>
      <c r="C212" s="17" t="str">
        <f t="shared" si="3"/>
        <v>UA</v>
      </c>
      <c r="D212" s="12">
        <v>0</v>
      </c>
    </row>
    <row r="213" spans="1:4" x14ac:dyDescent="0.25">
      <c r="A213" s="4" t="s">
        <v>373</v>
      </c>
      <c r="B213" s="4" t="s">
        <v>178</v>
      </c>
      <c r="C213" s="17" t="str">
        <f t="shared" si="3"/>
        <v>UA</v>
      </c>
      <c r="D213" s="12">
        <v>0</v>
      </c>
    </row>
    <row r="214" spans="1:4" x14ac:dyDescent="0.25">
      <c r="A214" s="4" t="s">
        <v>374</v>
      </c>
      <c r="B214" s="4" t="s">
        <v>178</v>
      </c>
      <c r="C214" s="17" t="str">
        <f t="shared" si="3"/>
        <v>UA</v>
      </c>
      <c r="D214" s="12">
        <v>0</v>
      </c>
    </row>
    <row r="215" spans="1:4" x14ac:dyDescent="0.25">
      <c r="A215" s="4" t="s">
        <v>375</v>
      </c>
      <c r="B215" s="4" t="s">
        <v>178</v>
      </c>
      <c r="C215" s="17" t="str">
        <f t="shared" si="3"/>
        <v>UA</v>
      </c>
      <c r="D215" s="12">
        <v>0</v>
      </c>
    </row>
    <row r="216" spans="1:4" x14ac:dyDescent="0.25">
      <c r="A216" s="4" t="s">
        <v>376</v>
      </c>
      <c r="B216" s="4" t="s">
        <v>178</v>
      </c>
      <c r="C216" s="17" t="str">
        <f t="shared" si="3"/>
        <v>UA</v>
      </c>
      <c r="D216" s="12">
        <v>0</v>
      </c>
    </row>
    <row r="217" spans="1:4" x14ac:dyDescent="0.25">
      <c r="A217" s="4" t="s">
        <v>377</v>
      </c>
      <c r="B217" s="4" t="s">
        <v>178</v>
      </c>
      <c r="C217" s="17" t="str">
        <f t="shared" si="3"/>
        <v>UA</v>
      </c>
      <c r="D217" s="12">
        <v>0</v>
      </c>
    </row>
    <row r="218" spans="1:4" x14ac:dyDescent="0.25">
      <c r="A218" s="4" t="s">
        <v>378</v>
      </c>
      <c r="B218" s="4" t="s">
        <v>178</v>
      </c>
      <c r="C218" s="17" t="str">
        <f t="shared" si="3"/>
        <v>UA</v>
      </c>
      <c r="D218" s="12">
        <v>0</v>
      </c>
    </row>
    <row r="219" spans="1:4" x14ac:dyDescent="0.25">
      <c r="A219" s="4" t="s">
        <v>379</v>
      </c>
      <c r="B219" s="4" t="s">
        <v>178</v>
      </c>
      <c r="C219" s="17" t="str">
        <f t="shared" si="3"/>
        <v>UA</v>
      </c>
      <c r="D219" s="12">
        <v>0</v>
      </c>
    </row>
    <row r="220" spans="1:4" x14ac:dyDescent="0.25">
      <c r="A220" s="4" t="s">
        <v>380</v>
      </c>
      <c r="B220" s="4" t="s">
        <v>178</v>
      </c>
      <c r="C220" s="17" t="str">
        <f t="shared" si="3"/>
        <v>UA</v>
      </c>
      <c r="D220" s="12">
        <v>0</v>
      </c>
    </row>
    <row r="221" spans="1:4" x14ac:dyDescent="0.25">
      <c r="A221" s="4" t="s">
        <v>381</v>
      </c>
      <c r="B221" s="4" t="s">
        <v>178</v>
      </c>
      <c r="C221" s="17" t="str">
        <f t="shared" si="3"/>
        <v>UA</v>
      </c>
      <c r="D221" s="12">
        <v>0</v>
      </c>
    </row>
    <row r="222" spans="1:4" x14ac:dyDescent="0.25">
      <c r="A222" s="20" t="s">
        <v>372</v>
      </c>
      <c r="B222" s="4" t="s">
        <v>179</v>
      </c>
      <c r="C222" s="17" t="str">
        <f t="shared" si="3"/>
        <v>5002</v>
      </c>
      <c r="D222" s="12">
        <v>0</v>
      </c>
    </row>
    <row r="223" spans="1:4" x14ac:dyDescent="0.25">
      <c r="A223" s="4" t="s">
        <v>373</v>
      </c>
      <c r="B223" s="4" t="s">
        <v>179</v>
      </c>
      <c r="C223" s="17" t="str">
        <f t="shared" si="3"/>
        <v>5002</v>
      </c>
      <c r="D223" s="12">
        <v>0</v>
      </c>
    </row>
    <row r="224" spans="1:4" x14ac:dyDescent="0.25">
      <c r="A224" s="4" t="s">
        <v>374</v>
      </c>
      <c r="B224" s="4" t="s">
        <v>179</v>
      </c>
      <c r="C224" s="17" t="str">
        <f t="shared" si="3"/>
        <v>5002</v>
      </c>
      <c r="D224" s="12">
        <v>0</v>
      </c>
    </row>
    <row r="225" spans="1:4" x14ac:dyDescent="0.25">
      <c r="A225" s="4" t="s">
        <v>375</v>
      </c>
      <c r="B225" s="4" t="s">
        <v>179</v>
      </c>
      <c r="C225" s="17" t="str">
        <f t="shared" si="3"/>
        <v>5002</v>
      </c>
      <c r="D225" s="12">
        <v>0</v>
      </c>
    </row>
    <row r="226" spans="1:4" x14ac:dyDescent="0.25">
      <c r="A226" s="4" t="s">
        <v>376</v>
      </c>
      <c r="B226" s="4" t="s">
        <v>179</v>
      </c>
      <c r="C226" s="17" t="str">
        <f t="shared" si="3"/>
        <v>5002</v>
      </c>
      <c r="D226" s="12">
        <v>0</v>
      </c>
    </row>
    <row r="227" spans="1:4" x14ac:dyDescent="0.25">
      <c r="A227" s="4" t="s">
        <v>377</v>
      </c>
      <c r="B227" s="4" t="s">
        <v>179</v>
      </c>
      <c r="C227" s="17" t="str">
        <f t="shared" si="3"/>
        <v>5002</v>
      </c>
      <c r="D227" s="12">
        <v>0</v>
      </c>
    </row>
    <row r="228" spans="1:4" x14ac:dyDescent="0.25">
      <c r="A228" s="4" t="s">
        <v>378</v>
      </c>
      <c r="B228" s="4" t="s">
        <v>179</v>
      </c>
      <c r="C228" s="17" t="str">
        <f t="shared" si="3"/>
        <v>5002</v>
      </c>
      <c r="D228" s="12">
        <v>0</v>
      </c>
    </row>
    <row r="229" spans="1:4" x14ac:dyDescent="0.25">
      <c r="A229" s="4" t="s">
        <v>379</v>
      </c>
      <c r="B229" s="4" t="s">
        <v>179</v>
      </c>
      <c r="C229" s="17" t="str">
        <f t="shared" si="3"/>
        <v>5002</v>
      </c>
      <c r="D229" s="12">
        <v>0</v>
      </c>
    </row>
    <row r="230" spans="1:4" x14ac:dyDescent="0.25">
      <c r="A230" s="4" t="s">
        <v>380</v>
      </c>
      <c r="B230" s="4" t="s">
        <v>179</v>
      </c>
      <c r="C230" s="17" t="str">
        <f t="shared" si="3"/>
        <v>5002</v>
      </c>
      <c r="D230" s="12">
        <v>0</v>
      </c>
    </row>
    <row r="231" spans="1:4" x14ac:dyDescent="0.25">
      <c r="A231" s="4" t="s">
        <v>381</v>
      </c>
      <c r="B231" s="4" t="s">
        <v>179</v>
      </c>
      <c r="C231" s="17" t="str">
        <f t="shared" si="3"/>
        <v>5002</v>
      </c>
      <c r="D231" s="12">
        <v>0</v>
      </c>
    </row>
    <row r="232" spans="1:4" x14ac:dyDescent="0.25">
      <c r="A232" s="20" t="s">
        <v>382</v>
      </c>
      <c r="B232" s="4" t="s">
        <v>115</v>
      </c>
      <c r="C232" s="17" t="str">
        <f t="shared" si="3"/>
        <v>EU</v>
      </c>
      <c r="D232" s="12">
        <v>0</v>
      </c>
    </row>
    <row r="233" spans="1:4" x14ac:dyDescent="0.25">
      <c r="A233" s="4" t="s">
        <v>383</v>
      </c>
      <c r="B233" s="4" t="s">
        <v>115</v>
      </c>
      <c r="C233" s="17" t="str">
        <f t="shared" si="3"/>
        <v>EU</v>
      </c>
      <c r="D233" s="12">
        <v>0</v>
      </c>
    </row>
    <row r="234" spans="1:4" x14ac:dyDescent="0.25">
      <c r="A234" s="4" t="s">
        <v>384</v>
      </c>
      <c r="B234" s="4" t="s">
        <v>115</v>
      </c>
      <c r="C234" s="17" t="str">
        <f t="shared" si="3"/>
        <v>EU</v>
      </c>
      <c r="D234" s="12">
        <v>0</v>
      </c>
    </row>
    <row r="235" spans="1:4" x14ac:dyDescent="0.25">
      <c r="A235" s="4" t="s">
        <v>385</v>
      </c>
      <c r="B235" s="4" t="s">
        <v>115</v>
      </c>
      <c r="C235" s="17" t="str">
        <f t="shared" si="3"/>
        <v>EU</v>
      </c>
      <c r="D235" s="12">
        <v>0</v>
      </c>
    </row>
    <row r="236" spans="1:4" x14ac:dyDescent="0.25">
      <c r="A236" s="4" t="s">
        <v>386</v>
      </c>
      <c r="B236" s="4" t="s">
        <v>115</v>
      </c>
      <c r="C236" s="17" t="str">
        <f t="shared" si="3"/>
        <v>EU</v>
      </c>
      <c r="D236" s="12">
        <v>0</v>
      </c>
    </row>
    <row r="237" spans="1:4" x14ac:dyDescent="0.25">
      <c r="A237" s="4" t="s">
        <v>387</v>
      </c>
      <c r="B237" s="4" t="s">
        <v>115</v>
      </c>
      <c r="C237" s="17" t="str">
        <f t="shared" si="3"/>
        <v>EU</v>
      </c>
      <c r="D237" s="12">
        <v>0</v>
      </c>
    </row>
    <row r="238" spans="1:4" x14ac:dyDescent="0.25">
      <c r="A238" s="4" t="s">
        <v>388</v>
      </c>
      <c r="B238" s="4" t="s">
        <v>115</v>
      </c>
      <c r="C238" s="17" t="str">
        <f t="shared" si="3"/>
        <v>EU</v>
      </c>
      <c r="D238" s="12">
        <v>0</v>
      </c>
    </row>
    <row r="239" spans="1:4" x14ac:dyDescent="0.25">
      <c r="A239" s="4" t="s">
        <v>389</v>
      </c>
      <c r="B239" s="4" t="s">
        <v>115</v>
      </c>
      <c r="C239" s="17" t="str">
        <f t="shared" si="3"/>
        <v>EU</v>
      </c>
      <c r="D239" s="12">
        <v>0</v>
      </c>
    </row>
    <row r="240" spans="1:4" x14ac:dyDescent="0.25">
      <c r="A240" s="4" t="s">
        <v>390</v>
      </c>
      <c r="B240" s="4" t="s">
        <v>115</v>
      </c>
      <c r="C240" s="17" t="str">
        <f t="shared" si="3"/>
        <v>EU</v>
      </c>
      <c r="D240" s="12">
        <v>0</v>
      </c>
    </row>
    <row r="241" spans="1:4" x14ac:dyDescent="0.25">
      <c r="A241" s="4" t="s">
        <v>391</v>
      </c>
      <c r="B241" s="4" t="s">
        <v>115</v>
      </c>
      <c r="C241" s="17" t="str">
        <f t="shared" si="3"/>
        <v>EU</v>
      </c>
      <c r="D241" s="12">
        <v>0</v>
      </c>
    </row>
    <row r="242" spans="1:4" x14ac:dyDescent="0.25">
      <c r="A242" s="4" t="s">
        <v>392</v>
      </c>
      <c r="B242" s="4" t="s">
        <v>115</v>
      </c>
      <c r="C242" s="17" t="str">
        <f t="shared" si="3"/>
        <v>EU</v>
      </c>
      <c r="D242" s="12">
        <v>0</v>
      </c>
    </row>
    <row r="243" spans="1:4" x14ac:dyDescent="0.25">
      <c r="A243" s="4" t="s">
        <v>393</v>
      </c>
      <c r="B243" s="4" t="s">
        <v>115</v>
      </c>
      <c r="C243" s="17" t="str">
        <f t="shared" si="3"/>
        <v>EU</v>
      </c>
      <c r="D243" s="12">
        <v>0</v>
      </c>
    </row>
    <row r="244" spans="1:4" x14ac:dyDescent="0.25">
      <c r="A244" s="4" t="s">
        <v>394</v>
      </c>
      <c r="B244" s="4" t="s">
        <v>115</v>
      </c>
      <c r="C244" s="17" t="str">
        <f t="shared" si="3"/>
        <v>EU</v>
      </c>
      <c r="D244" s="12">
        <v>0</v>
      </c>
    </row>
    <row r="245" spans="1:4" x14ac:dyDescent="0.25">
      <c r="A245" s="4" t="s">
        <v>395</v>
      </c>
      <c r="B245" s="4" t="s">
        <v>115</v>
      </c>
      <c r="C245" s="17" t="str">
        <f t="shared" si="3"/>
        <v>EU</v>
      </c>
      <c r="D245" s="12">
        <v>0</v>
      </c>
    </row>
    <row r="246" spans="1:4" x14ac:dyDescent="0.25">
      <c r="A246" s="4" t="s">
        <v>396</v>
      </c>
      <c r="B246" s="4" t="s">
        <v>115</v>
      </c>
      <c r="C246" s="17" t="str">
        <f t="shared" si="3"/>
        <v>EU</v>
      </c>
      <c r="D246" s="12">
        <v>0</v>
      </c>
    </row>
    <row r="247" spans="1:4" x14ac:dyDescent="0.25">
      <c r="A247" s="4" t="s">
        <v>397</v>
      </c>
      <c r="B247" s="4" t="s">
        <v>115</v>
      </c>
      <c r="C247" s="17" t="str">
        <f t="shared" si="3"/>
        <v>EU</v>
      </c>
      <c r="D247" s="12">
        <v>0</v>
      </c>
    </row>
    <row r="248" spans="1:4" x14ac:dyDescent="0.25">
      <c r="A248" s="4" t="s">
        <v>398</v>
      </c>
      <c r="B248" s="4" t="s">
        <v>115</v>
      </c>
      <c r="C248" s="17" t="str">
        <f t="shared" si="3"/>
        <v>EU</v>
      </c>
      <c r="D248" s="12">
        <v>0</v>
      </c>
    </row>
    <row r="249" spans="1:4" x14ac:dyDescent="0.25">
      <c r="A249" s="4" t="s">
        <v>399</v>
      </c>
      <c r="B249" s="4" t="s">
        <v>115</v>
      </c>
      <c r="C249" s="17" t="str">
        <f t="shared" si="3"/>
        <v>EU</v>
      </c>
      <c r="D249" s="12">
        <v>0</v>
      </c>
    </row>
    <row r="250" spans="1:4" x14ac:dyDescent="0.25">
      <c r="A250" s="4" t="s">
        <v>400</v>
      </c>
      <c r="B250" s="4" t="s">
        <v>115</v>
      </c>
      <c r="C250" s="17" t="str">
        <f t="shared" si="3"/>
        <v>EU</v>
      </c>
      <c r="D250" s="12">
        <v>0</v>
      </c>
    </row>
    <row r="251" spans="1:4" x14ac:dyDescent="0.25">
      <c r="A251" s="4" t="s">
        <v>401</v>
      </c>
      <c r="B251" s="4" t="s">
        <v>115</v>
      </c>
      <c r="C251" s="17" t="str">
        <f t="shared" si="3"/>
        <v>EU</v>
      </c>
      <c r="D251" s="12">
        <v>0</v>
      </c>
    </row>
    <row r="252" spans="1:4" x14ac:dyDescent="0.25">
      <c r="A252" s="4" t="s">
        <v>402</v>
      </c>
      <c r="B252" s="4" t="s">
        <v>115</v>
      </c>
      <c r="C252" s="17" t="str">
        <f t="shared" si="3"/>
        <v>EU</v>
      </c>
      <c r="D252" s="12">
        <v>0</v>
      </c>
    </row>
    <row r="253" spans="1:4" x14ac:dyDescent="0.25">
      <c r="A253" s="4" t="s">
        <v>403</v>
      </c>
      <c r="B253" s="4" t="s">
        <v>115</v>
      </c>
      <c r="C253" s="17" t="str">
        <f t="shared" si="3"/>
        <v>EU</v>
      </c>
      <c r="D253" s="12">
        <v>0</v>
      </c>
    </row>
    <row r="254" spans="1:4" x14ac:dyDescent="0.25">
      <c r="A254" s="4" t="s">
        <v>404</v>
      </c>
      <c r="B254" s="4" t="s">
        <v>115</v>
      </c>
      <c r="C254" s="17" t="str">
        <f t="shared" si="3"/>
        <v>EU</v>
      </c>
      <c r="D254" s="12">
        <v>0</v>
      </c>
    </row>
    <row r="255" spans="1:4" x14ac:dyDescent="0.25">
      <c r="A255" s="4" t="s">
        <v>405</v>
      </c>
      <c r="B255" s="4" t="s">
        <v>115</v>
      </c>
      <c r="C255" s="17" t="str">
        <f t="shared" si="3"/>
        <v>EU</v>
      </c>
      <c r="D255" s="12">
        <v>0</v>
      </c>
    </row>
    <row r="256" spans="1:4" x14ac:dyDescent="0.25">
      <c r="A256" s="4" t="s">
        <v>406</v>
      </c>
      <c r="B256" s="4" t="s">
        <v>115</v>
      </c>
      <c r="C256" s="17" t="str">
        <f t="shared" si="3"/>
        <v>EU</v>
      </c>
      <c r="D256" s="12">
        <v>0</v>
      </c>
    </row>
    <row r="257" spans="1:4" x14ac:dyDescent="0.25">
      <c r="A257" s="4" t="s">
        <v>407</v>
      </c>
      <c r="B257" s="4" t="s">
        <v>115</v>
      </c>
      <c r="C257" s="17" t="str">
        <f t="shared" si="3"/>
        <v>EU</v>
      </c>
      <c r="D257" s="12">
        <v>0</v>
      </c>
    </row>
    <row r="258" spans="1:4" x14ac:dyDescent="0.25">
      <c r="A258" s="4" t="s">
        <v>408</v>
      </c>
      <c r="B258" s="4" t="s">
        <v>115</v>
      </c>
      <c r="C258" s="17" t="str">
        <f t="shared" ref="C258:C321" si="4">VLOOKUP(B258, quota_order_numbers2, 6, FALSE)</f>
        <v>EU</v>
      </c>
      <c r="D258" s="12">
        <v>0</v>
      </c>
    </row>
    <row r="259" spans="1:4" x14ac:dyDescent="0.25">
      <c r="A259" s="4" t="s">
        <v>409</v>
      </c>
      <c r="B259" s="4" t="s">
        <v>115</v>
      </c>
      <c r="C259" s="17" t="str">
        <f t="shared" si="4"/>
        <v>EU</v>
      </c>
      <c r="D259" s="12">
        <v>0</v>
      </c>
    </row>
    <row r="260" spans="1:4" x14ac:dyDescent="0.25">
      <c r="A260" s="4" t="s">
        <v>410</v>
      </c>
      <c r="B260" s="4" t="s">
        <v>115</v>
      </c>
      <c r="C260" s="17" t="str">
        <f t="shared" si="4"/>
        <v>EU</v>
      </c>
      <c r="D260" s="12">
        <v>0</v>
      </c>
    </row>
    <row r="261" spans="1:4" x14ac:dyDescent="0.25">
      <c r="A261" s="4" t="s">
        <v>411</v>
      </c>
      <c r="B261" s="4" t="s">
        <v>115</v>
      </c>
      <c r="C261" s="17" t="str">
        <f t="shared" si="4"/>
        <v>EU</v>
      </c>
      <c r="D261" s="12">
        <v>0</v>
      </c>
    </row>
    <row r="262" spans="1:4" x14ac:dyDescent="0.25">
      <c r="A262" s="4" t="s">
        <v>412</v>
      </c>
      <c r="B262" s="4" t="s">
        <v>115</v>
      </c>
      <c r="C262" s="17" t="str">
        <f t="shared" si="4"/>
        <v>EU</v>
      </c>
      <c r="D262" s="12">
        <v>0</v>
      </c>
    </row>
    <row r="263" spans="1:4" x14ac:dyDescent="0.25">
      <c r="A263" s="4" t="s">
        <v>413</v>
      </c>
      <c r="B263" s="4" t="s">
        <v>115</v>
      </c>
      <c r="C263" s="17" t="str">
        <f t="shared" si="4"/>
        <v>EU</v>
      </c>
      <c r="D263" s="12">
        <v>0</v>
      </c>
    </row>
    <row r="264" spans="1:4" x14ac:dyDescent="0.25">
      <c r="A264" s="4" t="s">
        <v>414</v>
      </c>
      <c r="B264" s="4" t="s">
        <v>115</v>
      </c>
      <c r="C264" s="17" t="str">
        <f t="shared" si="4"/>
        <v>EU</v>
      </c>
      <c r="D264" s="12">
        <v>0</v>
      </c>
    </row>
    <row r="265" spans="1:4" x14ac:dyDescent="0.25">
      <c r="A265" s="4" t="s">
        <v>415</v>
      </c>
      <c r="B265" s="4" t="s">
        <v>115</v>
      </c>
      <c r="C265" s="17" t="str">
        <f t="shared" si="4"/>
        <v>EU</v>
      </c>
      <c r="D265" s="12">
        <v>0</v>
      </c>
    </row>
    <row r="266" spans="1:4" x14ac:dyDescent="0.25">
      <c r="A266" s="20" t="s">
        <v>382</v>
      </c>
      <c r="B266" s="4" t="s">
        <v>181</v>
      </c>
      <c r="C266" s="17" t="str">
        <f t="shared" si="4"/>
        <v>TR</v>
      </c>
      <c r="D266" s="12">
        <v>0</v>
      </c>
    </row>
    <row r="267" spans="1:4" x14ac:dyDescent="0.25">
      <c r="A267" s="4" t="s">
        <v>383</v>
      </c>
      <c r="B267" s="4" t="s">
        <v>181</v>
      </c>
      <c r="C267" s="17" t="str">
        <f t="shared" si="4"/>
        <v>TR</v>
      </c>
      <c r="D267" s="12">
        <v>0</v>
      </c>
    </row>
    <row r="268" spans="1:4" x14ac:dyDescent="0.25">
      <c r="A268" s="4" t="s">
        <v>384</v>
      </c>
      <c r="B268" s="4" t="s">
        <v>181</v>
      </c>
      <c r="C268" s="17" t="str">
        <f t="shared" si="4"/>
        <v>TR</v>
      </c>
      <c r="D268" s="12">
        <v>0</v>
      </c>
    </row>
    <row r="269" spans="1:4" x14ac:dyDescent="0.25">
      <c r="A269" s="4" t="s">
        <v>385</v>
      </c>
      <c r="B269" s="4" t="s">
        <v>181</v>
      </c>
      <c r="C269" s="17" t="str">
        <f t="shared" si="4"/>
        <v>TR</v>
      </c>
      <c r="D269" s="12">
        <v>0</v>
      </c>
    </row>
    <row r="270" spans="1:4" x14ac:dyDescent="0.25">
      <c r="A270" s="4" t="s">
        <v>386</v>
      </c>
      <c r="B270" s="4" t="s">
        <v>181</v>
      </c>
      <c r="C270" s="17" t="str">
        <f t="shared" si="4"/>
        <v>TR</v>
      </c>
      <c r="D270" s="12">
        <v>0</v>
      </c>
    </row>
    <row r="271" spans="1:4" x14ac:dyDescent="0.25">
      <c r="A271" s="4" t="s">
        <v>387</v>
      </c>
      <c r="B271" s="4" t="s">
        <v>181</v>
      </c>
      <c r="C271" s="17" t="str">
        <f t="shared" si="4"/>
        <v>TR</v>
      </c>
      <c r="D271" s="12">
        <v>0</v>
      </c>
    </row>
    <row r="272" spans="1:4" x14ac:dyDescent="0.25">
      <c r="A272" s="4" t="s">
        <v>388</v>
      </c>
      <c r="B272" s="4" t="s">
        <v>181</v>
      </c>
      <c r="C272" s="17" t="str">
        <f t="shared" si="4"/>
        <v>TR</v>
      </c>
      <c r="D272" s="12">
        <v>0</v>
      </c>
    </row>
    <row r="273" spans="1:4" x14ac:dyDescent="0.25">
      <c r="A273" s="4" t="s">
        <v>389</v>
      </c>
      <c r="B273" s="4" t="s">
        <v>181</v>
      </c>
      <c r="C273" s="17" t="str">
        <f t="shared" si="4"/>
        <v>TR</v>
      </c>
      <c r="D273" s="12">
        <v>0</v>
      </c>
    </row>
    <row r="274" spans="1:4" x14ac:dyDescent="0.25">
      <c r="A274" s="4" t="s">
        <v>390</v>
      </c>
      <c r="B274" s="4" t="s">
        <v>181</v>
      </c>
      <c r="C274" s="17" t="str">
        <f t="shared" si="4"/>
        <v>TR</v>
      </c>
      <c r="D274" s="12">
        <v>0</v>
      </c>
    </row>
    <row r="275" spans="1:4" x14ac:dyDescent="0.25">
      <c r="A275" s="4" t="s">
        <v>391</v>
      </c>
      <c r="B275" s="4" t="s">
        <v>181</v>
      </c>
      <c r="C275" s="17" t="str">
        <f t="shared" si="4"/>
        <v>TR</v>
      </c>
      <c r="D275" s="12">
        <v>0</v>
      </c>
    </row>
    <row r="276" spans="1:4" x14ac:dyDescent="0.25">
      <c r="A276" s="4" t="s">
        <v>392</v>
      </c>
      <c r="B276" s="4" t="s">
        <v>181</v>
      </c>
      <c r="C276" s="17" t="str">
        <f t="shared" si="4"/>
        <v>TR</v>
      </c>
      <c r="D276" s="12">
        <v>0</v>
      </c>
    </row>
    <row r="277" spans="1:4" x14ac:dyDescent="0.25">
      <c r="A277" s="4" t="s">
        <v>393</v>
      </c>
      <c r="B277" s="4" t="s">
        <v>181</v>
      </c>
      <c r="C277" s="17" t="str">
        <f t="shared" si="4"/>
        <v>TR</v>
      </c>
      <c r="D277" s="12">
        <v>0</v>
      </c>
    </row>
    <row r="278" spans="1:4" x14ac:dyDescent="0.25">
      <c r="A278" s="4" t="s">
        <v>394</v>
      </c>
      <c r="B278" s="4" t="s">
        <v>181</v>
      </c>
      <c r="C278" s="17" t="str">
        <f t="shared" si="4"/>
        <v>TR</v>
      </c>
      <c r="D278" s="12">
        <v>0</v>
      </c>
    </row>
    <row r="279" spans="1:4" x14ac:dyDescent="0.25">
      <c r="A279" s="4" t="s">
        <v>395</v>
      </c>
      <c r="B279" s="4" t="s">
        <v>181</v>
      </c>
      <c r="C279" s="17" t="str">
        <f t="shared" si="4"/>
        <v>TR</v>
      </c>
      <c r="D279" s="12">
        <v>0</v>
      </c>
    </row>
    <row r="280" spans="1:4" x14ac:dyDescent="0.25">
      <c r="A280" s="4" t="s">
        <v>396</v>
      </c>
      <c r="B280" s="4" t="s">
        <v>181</v>
      </c>
      <c r="C280" s="17" t="str">
        <f t="shared" si="4"/>
        <v>TR</v>
      </c>
      <c r="D280" s="12">
        <v>0</v>
      </c>
    </row>
    <row r="281" spans="1:4" x14ac:dyDescent="0.25">
      <c r="A281" s="4" t="s">
        <v>397</v>
      </c>
      <c r="B281" s="4" t="s">
        <v>181</v>
      </c>
      <c r="C281" s="17" t="str">
        <f t="shared" si="4"/>
        <v>TR</v>
      </c>
      <c r="D281" s="12">
        <v>0</v>
      </c>
    </row>
    <row r="282" spans="1:4" x14ac:dyDescent="0.25">
      <c r="A282" s="4" t="s">
        <v>398</v>
      </c>
      <c r="B282" s="4" t="s">
        <v>181</v>
      </c>
      <c r="C282" s="17" t="str">
        <f t="shared" si="4"/>
        <v>TR</v>
      </c>
      <c r="D282" s="12">
        <v>0</v>
      </c>
    </row>
    <row r="283" spans="1:4" x14ac:dyDescent="0.25">
      <c r="A283" s="4" t="s">
        <v>399</v>
      </c>
      <c r="B283" s="4" t="s">
        <v>181</v>
      </c>
      <c r="C283" s="17" t="str">
        <f t="shared" si="4"/>
        <v>TR</v>
      </c>
      <c r="D283" s="12">
        <v>0</v>
      </c>
    </row>
    <row r="284" spans="1:4" x14ac:dyDescent="0.25">
      <c r="A284" s="4" t="s">
        <v>400</v>
      </c>
      <c r="B284" s="4" t="s">
        <v>181</v>
      </c>
      <c r="C284" s="17" t="str">
        <f t="shared" si="4"/>
        <v>TR</v>
      </c>
      <c r="D284" s="12">
        <v>0</v>
      </c>
    </row>
    <row r="285" spans="1:4" x14ac:dyDescent="0.25">
      <c r="A285" s="4" t="s">
        <v>401</v>
      </c>
      <c r="B285" s="4" t="s">
        <v>181</v>
      </c>
      <c r="C285" s="17" t="str">
        <f t="shared" si="4"/>
        <v>TR</v>
      </c>
      <c r="D285" s="12">
        <v>0</v>
      </c>
    </row>
    <row r="286" spans="1:4" x14ac:dyDescent="0.25">
      <c r="A286" s="4" t="s">
        <v>402</v>
      </c>
      <c r="B286" s="4" t="s">
        <v>181</v>
      </c>
      <c r="C286" s="17" t="str">
        <f t="shared" si="4"/>
        <v>TR</v>
      </c>
      <c r="D286" s="12">
        <v>0</v>
      </c>
    </row>
    <row r="287" spans="1:4" x14ac:dyDescent="0.25">
      <c r="A287" s="4" t="s">
        <v>403</v>
      </c>
      <c r="B287" s="4" t="s">
        <v>181</v>
      </c>
      <c r="C287" s="17" t="str">
        <f t="shared" si="4"/>
        <v>TR</v>
      </c>
      <c r="D287" s="12">
        <v>0</v>
      </c>
    </row>
    <row r="288" spans="1:4" x14ac:dyDescent="0.25">
      <c r="A288" s="4" t="s">
        <v>404</v>
      </c>
      <c r="B288" s="4" t="s">
        <v>181</v>
      </c>
      <c r="C288" s="17" t="str">
        <f t="shared" si="4"/>
        <v>TR</v>
      </c>
      <c r="D288" s="12">
        <v>0</v>
      </c>
    </row>
    <row r="289" spans="1:4" x14ac:dyDescent="0.25">
      <c r="A289" s="4" t="s">
        <v>405</v>
      </c>
      <c r="B289" s="4" t="s">
        <v>181</v>
      </c>
      <c r="C289" s="17" t="str">
        <f t="shared" si="4"/>
        <v>TR</v>
      </c>
      <c r="D289" s="12">
        <v>0</v>
      </c>
    </row>
    <row r="290" spans="1:4" x14ac:dyDescent="0.25">
      <c r="A290" s="4" t="s">
        <v>406</v>
      </c>
      <c r="B290" s="4" t="s">
        <v>181</v>
      </c>
      <c r="C290" s="17" t="str">
        <f t="shared" si="4"/>
        <v>TR</v>
      </c>
      <c r="D290" s="12">
        <v>0</v>
      </c>
    </row>
    <row r="291" spans="1:4" x14ac:dyDescent="0.25">
      <c r="A291" s="4" t="s">
        <v>407</v>
      </c>
      <c r="B291" s="4" t="s">
        <v>181</v>
      </c>
      <c r="C291" s="17" t="str">
        <f t="shared" si="4"/>
        <v>TR</v>
      </c>
      <c r="D291" s="12">
        <v>0</v>
      </c>
    </row>
    <row r="292" spans="1:4" x14ac:dyDescent="0.25">
      <c r="A292" s="4" t="s">
        <v>408</v>
      </c>
      <c r="B292" s="4" t="s">
        <v>181</v>
      </c>
      <c r="C292" s="17" t="str">
        <f t="shared" si="4"/>
        <v>TR</v>
      </c>
      <c r="D292" s="12">
        <v>0</v>
      </c>
    </row>
    <row r="293" spans="1:4" x14ac:dyDescent="0.25">
      <c r="A293" s="4" t="s">
        <v>409</v>
      </c>
      <c r="B293" s="4" t="s">
        <v>181</v>
      </c>
      <c r="C293" s="17" t="str">
        <f t="shared" si="4"/>
        <v>TR</v>
      </c>
      <c r="D293" s="12">
        <v>0</v>
      </c>
    </row>
    <row r="294" spans="1:4" x14ac:dyDescent="0.25">
      <c r="A294" s="4" t="s">
        <v>410</v>
      </c>
      <c r="B294" s="4" t="s">
        <v>181</v>
      </c>
      <c r="C294" s="17" t="str">
        <f t="shared" si="4"/>
        <v>TR</v>
      </c>
      <c r="D294" s="12">
        <v>0</v>
      </c>
    </row>
    <row r="295" spans="1:4" x14ac:dyDescent="0.25">
      <c r="A295" s="4" t="s">
        <v>411</v>
      </c>
      <c r="B295" s="4" t="s">
        <v>181</v>
      </c>
      <c r="C295" s="17" t="str">
        <f t="shared" si="4"/>
        <v>TR</v>
      </c>
      <c r="D295" s="12">
        <v>0</v>
      </c>
    </row>
    <row r="296" spans="1:4" x14ac:dyDescent="0.25">
      <c r="A296" s="4" t="s">
        <v>412</v>
      </c>
      <c r="B296" s="4" t="s">
        <v>181</v>
      </c>
      <c r="C296" s="17" t="str">
        <f t="shared" si="4"/>
        <v>TR</v>
      </c>
      <c r="D296" s="12">
        <v>0</v>
      </c>
    </row>
    <row r="297" spans="1:4" x14ac:dyDescent="0.25">
      <c r="A297" s="4" t="s">
        <v>413</v>
      </c>
      <c r="B297" s="4" t="s">
        <v>181</v>
      </c>
      <c r="C297" s="17" t="str">
        <f t="shared" si="4"/>
        <v>TR</v>
      </c>
      <c r="D297" s="12">
        <v>0</v>
      </c>
    </row>
    <row r="298" spans="1:4" x14ac:dyDescent="0.25">
      <c r="A298" s="4" t="s">
        <v>414</v>
      </c>
      <c r="B298" s="4" t="s">
        <v>181</v>
      </c>
      <c r="C298" s="17" t="str">
        <f t="shared" si="4"/>
        <v>TR</v>
      </c>
      <c r="D298" s="12">
        <v>0</v>
      </c>
    </row>
    <row r="299" spans="1:4" x14ac:dyDescent="0.25">
      <c r="A299" s="4" t="s">
        <v>415</v>
      </c>
      <c r="B299" s="4" t="s">
        <v>181</v>
      </c>
      <c r="C299" s="17" t="str">
        <f t="shared" si="4"/>
        <v>TR</v>
      </c>
      <c r="D299" s="12">
        <v>0</v>
      </c>
    </row>
    <row r="300" spans="1:4" x14ac:dyDescent="0.25">
      <c r="A300" s="20" t="s">
        <v>382</v>
      </c>
      <c r="B300" s="4" t="s">
        <v>182</v>
      </c>
      <c r="C300" s="17" t="str">
        <f t="shared" si="4"/>
        <v>5002</v>
      </c>
      <c r="D300" s="12">
        <v>0</v>
      </c>
    </row>
    <row r="301" spans="1:4" x14ac:dyDescent="0.25">
      <c r="A301" s="4" t="s">
        <v>383</v>
      </c>
      <c r="B301" s="4" t="s">
        <v>182</v>
      </c>
      <c r="C301" s="17" t="str">
        <f t="shared" si="4"/>
        <v>5002</v>
      </c>
      <c r="D301" s="12">
        <v>0</v>
      </c>
    </row>
    <row r="302" spans="1:4" x14ac:dyDescent="0.25">
      <c r="A302" s="4" t="s">
        <v>384</v>
      </c>
      <c r="B302" s="4" t="s">
        <v>182</v>
      </c>
      <c r="C302" s="17" t="str">
        <f t="shared" si="4"/>
        <v>5002</v>
      </c>
      <c r="D302" s="12">
        <v>0</v>
      </c>
    </row>
    <row r="303" spans="1:4" x14ac:dyDescent="0.25">
      <c r="A303" s="4" t="s">
        <v>385</v>
      </c>
      <c r="B303" s="4" t="s">
        <v>182</v>
      </c>
      <c r="C303" s="17" t="str">
        <f t="shared" si="4"/>
        <v>5002</v>
      </c>
      <c r="D303" s="12">
        <v>0</v>
      </c>
    </row>
    <row r="304" spans="1:4" x14ac:dyDescent="0.25">
      <c r="A304" s="4" t="s">
        <v>386</v>
      </c>
      <c r="B304" s="4" t="s">
        <v>182</v>
      </c>
      <c r="C304" s="17" t="str">
        <f t="shared" si="4"/>
        <v>5002</v>
      </c>
      <c r="D304" s="12">
        <v>0</v>
      </c>
    </row>
    <row r="305" spans="1:4" x14ac:dyDescent="0.25">
      <c r="A305" s="4" t="s">
        <v>387</v>
      </c>
      <c r="B305" s="4" t="s">
        <v>182</v>
      </c>
      <c r="C305" s="17" t="str">
        <f t="shared" si="4"/>
        <v>5002</v>
      </c>
      <c r="D305" s="12">
        <v>0</v>
      </c>
    </row>
    <row r="306" spans="1:4" x14ac:dyDescent="0.25">
      <c r="A306" s="4" t="s">
        <v>388</v>
      </c>
      <c r="B306" s="4" t="s">
        <v>182</v>
      </c>
      <c r="C306" s="17" t="str">
        <f t="shared" si="4"/>
        <v>5002</v>
      </c>
      <c r="D306" s="12">
        <v>0</v>
      </c>
    </row>
    <row r="307" spans="1:4" x14ac:dyDescent="0.25">
      <c r="A307" s="4" t="s">
        <v>389</v>
      </c>
      <c r="B307" s="4" t="s">
        <v>182</v>
      </c>
      <c r="C307" s="17" t="str">
        <f t="shared" si="4"/>
        <v>5002</v>
      </c>
      <c r="D307" s="12">
        <v>0</v>
      </c>
    </row>
    <row r="308" spans="1:4" x14ac:dyDescent="0.25">
      <c r="A308" s="4" t="s">
        <v>390</v>
      </c>
      <c r="B308" s="4" t="s">
        <v>182</v>
      </c>
      <c r="C308" s="17" t="str">
        <f t="shared" si="4"/>
        <v>5002</v>
      </c>
      <c r="D308" s="12">
        <v>0</v>
      </c>
    </row>
    <row r="309" spans="1:4" x14ac:dyDescent="0.25">
      <c r="A309" s="4" t="s">
        <v>391</v>
      </c>
      <c r="B309" s="4" t="s">
        <v>182</v>
      </c>
      <c r="C309" s="17" t="str">
        <f t="shared" si="4"/>
        <v>5002</v>
      </c>
      <c r="D309" s="12">
        <v>0</v>
      </c>
    </row>
    <row r="310" spans="1:4" x14ac:dyDescent="0.25">
      <c r="A310" s="4" t="s">
        <v>392</v>
      </c>
      <c r="B310" s="4" t="s">
        <v>182</v>
      </c>
      <c r="C310" s="17" t="str">
        <f t="shared" si="4"/>
        <v>5002</v>
      </c>
      <c r="D310" s="12">
        <v>0</v>
      </c>
    </row>
    <row r="311" spans="1:4" x14ac:dyDescent="0.25">
      <c r="A311" s="4" t="s">
        <v>393</v>
      </c>
      <c r="B311" s="4" t="s">
        <v>182</v>
      </c>
      <c r="C311" s="17" t="str">
        <f t="shared" si="4"/>
        <v>5002</v>
      </c>
      <c r="D311" s="12">
        <v>0</v>
      </c>
    </row>
    <row r="312" spans="1:4" x14ac:dyDescent="0.25">
      <c r="A312" s="4" t="s">
        <v>394</v>
      </c>
      <c r="B312" s="4" t="s">
        <v>182</v>
      </c>
      <c r="C312" s="17" t="str">
        <f t="shared" si="4"/>
        <v>5002</v>
      </c>
      <c r="D312" s="12">
        <v>0</v>
      </c>
    </row>
    <row r="313" spans="1:4" x14ac:dyDescent="0.25">
      <c r="A313" s="4" t="s">
        <v>395</v>
      </c>
      <c r="B313" s="4" t="s">
        <v>182</v>
      </c>
      <c r="C313" s="17" t="str">
        <f t="shared" si="4"/>
        <v>5002</v>
      </c>
      <c r="D313" s="12">
        <v>0</v>
      </c>
    </row>
    <row r="314" spans="1:4" x14ac:dyDescent="0.25">
      <c r="A314" s="4" t="s">
        <v>396</v>
      </c>
      <c r="B314" s="4" t="s">
        <v>182</v>
      </c>
      <c r="C314" s="17" t="str">
        <f t="shared" si="4"/>
        <v>5002</v>
      </c>
      <c r="D314" s="12">
        <v>0</v>
      </c>
    </row>
    <row r="315" spans="1:4" x14ac:dyDescent="0.25">
      <c r="A315" s="4" t="s">
        <v>397</v>
      </c>
      <c r="B315" s="4" t="s">
        <v>182</v>
      </c>
      <c r="C315" s="17" t="str">
        <f t="shared" si="4"/>
        <v>5002</v>
      </c>
      <c r="D315" s="12">
        <v>0</v>
      </c>
    </row>
    <row r="316" spans="1:4" x14ac:dyDescent="0.25">
      <c r="A316" s="4" t="s">
        <v>398</v>
      </c>
      <c r="B316" s="4" t="s">
        <v>182</v>
      </c>
      <c r="C316" s="17" t="str">
        <f t="shared" si="4"/>
        <v>5002</v>
      </c>
      <c r="D316" s="12">
        <v>0</v>
      </c>
    </row>
    <row r="317" spans="1:4" x14ac:dyDescent="0.25">
      <c r="A317" s="4" t="s">
        <v>399</v>
      </c>
      <c r="B317" s="4" t="s">
        <v>182</v>
      </c>
      <c r="C317" s="17" t="str">
        <f t="shared" si="4"/>
        <v>5002</v>
      </c>
      <c r="D317" s="12">
        <v>0</v>
      </c>
    </row>
    <row r="318" spans="1:4" x14ac:dyDescent="0.25">
      <c r="A318" s="4" t="s">
        <v>400</v>
      </c>
      <c r="B318" s="4" t="s">
        <v>182</v>
      </c>
      <c r="C318" s="17" t="str">
        <f t="shared" si="4"/>
        <v>5002</v>
      </c>
      <c r="D318" s="12">
        <v>0</v>
      </c>
    </row>
    <row r="319" spans="1:4" x14ac:dyDescent="0.25">
      <c r="A319" s="4" t="s">
        <v>401</v>
      </c>
      <c r="B319" s="4" t="s">
        <v>182</v>
      </c>
      <c r="C319" s="17" t="str">
        <f t="shared" si="4"/>
        <v>5002</v>
      </c>
      <c r="D319" s="12">
        <v>0</v>
      </c>
    </row>
    <row r="320" spans="1:4" x14ac:dyDescent="0.25">
      <c r="A320" s="4" t="s">
        <v>402</v>
      </c>
      <c r="B320" s="4" t="s">
        <v>182</v>
      </c>
      <c r="C320" s="17" t="str">
        <f t="shared" si="4"/>
        <v>5002</v>
      </c>
      <c r="D320" s="12">
        <v>0</v>
      </c>
    </row>
    <row r="321" spans="1:4" x14ac:dyDescent="0.25">
      <c r="A321" s="4" t="s">
        <v>403</v>
      </c>
      <c r="B321" s="4" t="s">
        <v>182</v>
      </c>
      <c r="C321" s="17" t="str">
        <f t="shared" si="4"/>
        <v>5002</v>
      </c>
      <c r="D321" s="12">
        <v>0</v>
      </c>
    </row>
    <row r="322" spans="1:4" x14ac:dyDescent="0.25">
      <c r="A322" s="4" t="s">
        <v>404</v>
      </c>
      <c r="B322" s="4" t="s">
        <v>182</v>
      </c>
      <c r="C322" s="17" t="str">
        <f t="shared" ref="C322:C385" si="5">VLOOKUP(B322, quota_order_numbers2, 6, FALSE)</f>
        <v>5002</v>
      </c>
      <c r="D322" s="12">
        <v>0</v>
      </c>
    </row>
    <row r="323" spans="1:4" x14ac:dyDescent="0.25">
      <c r="A323" s="4" t="s">
        <v>405</v>
      </c>
      <c r="B323" s="4" t="s">
        <v>182</v>
      </c>
      <c r="C323" s="17" t="str">
        <f t="shared" si="5"/>
        <v>5002</v>
      </c>
      <c r="D323" s="12">
        <v>0</v>
      </c>
    </row>
    <row r="324" spans="1:4" x14ac:dyDescent="0.25">
      <c r="A324" s="4" t="s">
        <v>406</v>
      </c>
      <c r="B324" s="4" t="s">
        <v>182</v>
      </c>
      <c r="C324" s="17" t="str">
        <f t="shared" si="5"/>
        <v>5002</v>
      </c>
      <c r="D324" s="12">
        <v>0</v>
      </c>
    </row>
    <row r="325" spans="1:4" x14ac:dyDescent="0.25">
      <c r="A325" s="4" t="s">
        <v>407</v>
      </c>
      <c r="B325" s="4" t="s">
        <v>182</v>
      </c>
      <c r="C325" s="17" t="str">
        <f t="shared" si="5"/>
        <v>5002</v>
      </c>
      <c r="D325" s="12">
        <v>0</v>
      </c>
    </row>
    <row r="326" spans="1:4" x14ac:dyDescent="0.25">
      <c r="A326" s="4" t="s">
        <v>408</v>
      </c>
      <c r="B326" s="4" t="s">
        <v>182</v>
      </c>
      <c r="C326" s="17" t="str">
        <f t="shared" si="5"/>
        <v>5002</v>
      </c>
      <c r="D326" s="12">
        <v>0</v>
      </c>
    </row>
    <row r="327" spans="1:4" x14ac:dyDescent="0.25">
      <c r="A327" s="4" t="s">
        <v>409</v>
      </c>
      <c r="B327" s="4" t="s">
        <v>182</v>
      </c>
      <c r="C327" s="17" t="str">
        <f t="shared" si="5"/>
        <v>5002</v>
      </c>
      <c r="D327" s="12">
        <v>0</v>
      </c>
    </row>
    <row r="328" spans="1:4" x14ac:dyDescent="0.25">
      <c r="A328" s="4" t="s">
        <v>410</v>
      </c>
      <c r="B328" s="4" t="s">
        <v>182</v>
      </c>
      <c r="C328" s="17" t="str">
        <f t="shared" si="5"/>
        <v>5002</v>
      </c>
      <c r="D328" s="12">
        <v>0</v>
      </c>
    </row>
    <row r="329" spans="1:4" x14ac:dyDescent="0.25">
      <c r="A329" s="4" t="s">
        <v>411</v>
      </c>
      <c r="B329" s="4" t="s">
        <v>182</v>
      </c>
      <c r="C329" s="17" t="str">
        <f t="shared" si="5"/>
        <v>5002</v>
      </c>
      <c r="D329" s="12">
        <v>0</v>
      </c>
    </row>
    <row r="330" spans="1:4" x14ac:dyDescent="0.25">
      <c r="A330" s="4" t="s">
        <v>412</v>
      </c>
      <c r="B330" s="4" t="s">
        <v>182</v>
      </c>
      <c r="C330" s="17" t="str">
        <f t="shared" si="5"/>
        <v>5002</v>
      </c>
      <c r="D330" s="12">
        <v>0</v>
      </c>
    </row>
    <row r="331" spans="1:4" x14ac:dyDescent="0.25">
      <c r="A331" s="4" t="s">
        <v>413</v>
      </c>
      <c r="B331" s="4" t="s">
        <v>182</v>
      </c>
      <c r="C331" s="17" t="str">
        <f t="shared" si="5"/>
        <v>5002</v>
      </c>
      <c r="D331" s="12">
        <v>0</v>
      </c>
    </row>
    <row r="332" spans="1:4" x14ac:dyDescent="0.25">
      <c r="A332" s="4" t="s">
        <v>414</v>
      </c>
      <c r="B332" s="4" t="s">
        <v>182</v>
      </c>
      <c r="C332" s="17" t="str">
        <f t="shared" si="5"/>
        <v>5002</v>
      </c>
      <c r="D332" s="12">
        <v>0</v>
      </c>
    </row>
    <row r="333" spans="1:4" x14ac:dyDescent="0.25">
      <c r="A333" s="4" t="s">
        <v>415</v>
      </c>
      <c r="B333" s="4" t="s">
        <v>182</v>
      </c>
      <c r="C333" s="17" t="str">
        <f t="shared" si="5"/>
        <v>5002</v>
      </c>
      <c r="D333" s="12">
        <v>0</v>
      </c>
    </row>
    <row r="334" spans="1:4" x14ac:dyDescent="0.25">
      <c r="A334" s="20" t="s">
        <v>416</v>
      </c>
      <c r="B334" s="4" t="s">
        <v>118</v>
      </c>
      <c r="C334" s="17" t="str">
        <f t="shared" si="5"/>
        <v>EU</v>
      </c>
      <c r="D334" s="12">
        <v>0</v>
      </c>
    </row>
    <row r="335" spans="1:4" x14ac:dyDescent="0.25">
      <c r="A335" s="4" t="s">
        <v>417</v>
      </c>
      <c r="B335" s="4" t="s">
        <v>118</v>
      </c>
      <c r="C335" s="17" t="str">
        <f t="shared" si="5"/>
        <v>EU</v>
      </c>
      <c r="D335" s="12">
        <v>0</v>
      </c>
    </row>
    <row r="336" spans="1:4" x14ac:dyDescent="0.25">
      <c r="A336" s="4" t="s">
        <v>418</v>
      </c>
      <c r="B336" s="4" t="s">
        <v>118</v>
      </c>
      <c r="C336" s="17" t="str">
        <f t="shared" si="5"/>
        <v>EU</v>
      </c>
      <c r="D336" s="12">
        <v>0</v>
      </c>
    </row>
    <row r="337" spans="1:4" x14ac:dyDescent="0.25">
      <c r="A337" s="4" t="s">
        <v>419</v>
      </c>
      <c r="B337" s="4" t="s">
        <v>118</v>
      </c>
      <c r="C337" s="17" t="str">
        <f t="shared" si="5"/>
        <v>EU</v>
      </c>
      <c r="D337" s="12">
        <v>0</v>
      </c>
    </row>
    <row r="338" spans="1:4" x14ac:dyDescent="0.25">
      <c r="A338" s="4" t="s">
        <v>420</v>
      </c>
      <c r="B338" s="4" t="s">
        <v>118</v>
      </c>
      <c r="C338" s="17" t="str">
        <f t="shared" si="5"/>
        <v>EU</v>
      </c>
      <c r="D338" s="12">
        <v>0</v>
      </c>
    </row>
    <row r="339" spans="1:4" x14ac:dyDescent="0.25">
      <c r="A339" s="4" t="s">
        <v>421</v>
      </c>
      <c r="B339" s="4" t="s">
        <v>118</v>
      </c>
      <c r="C339" s="17" t="str">
        <f t="shared" si="5"/>
        <v>EU</v>
      </c>
      <c r="D339" s="12">
        <v>0</v>
      </c>
    </row>
    <row r="340" spans="1:4" x14ac:dyDescent="0.25">
      <c r="A340" s="4" t="s">
        <v>422</v>
      </c>
      <c r="B340" s="4" t="s">
        <v>118</v>
      </c>
      <c r="C340" s="17" t="str">
        <f t="shared" si="5"/>
        <v>EU</v>
      </c>
      <c r="D340" s="12">
        <v>0</v>
      </c>
    </row>
    <row r="341" spans="1:4" x14ac:dyDescent="0.25">
      <c r="A341" s="4" t="s">
        <v>423</v>
      </c>
      <c r="B341" s="4" t="s">
        <v>118</v>
      </c>
      <c r="C341" s="17" t="str">
        <f t="shared" si="5"/>
        <v>EU</v>
      </c>
      <c r="D341" s="12">
        <v>0</v>
      </c>
    </row>
    <row r="342" spans="1:4" x14ac:dyDescent="0.25">
      <c r="A342" s="4" t="s">
        <v>424</v>
      </c>
      <c r="B342" s="4" t="s">
        <v>118</v>
      </c>
      <c r="C342" s="17" t="str">
        <f t="shared" si="5"/>
        <v>EU</v>
      </c>
      <c r="D342" s="12">
        <v>0</v>
      </c>
    </row>
    <row r="343" spans="1:4" x14ac:dyDescent="0.25">
      <c r="A343" s="4" t="s">
        <v>425</v>
      </c>
      <c r="B343" s="4" t="s">
        <v>118</v>
      </c>
      <c r="C343" s="17" t="str">
        <f t="shared" si="5"/>
        <v>EU</v>
      </c>
      <c r="D343" s="12">
        <v>0</v>
      </c>
    </row>
    <row r="344" spans="1:4" x14ac:dyDescent="0.25">
      <c r="A344" s="4" t="s">
        <v>426</v>
      </c>
      <c r="B344" s="4" t="s">
        <v>118</v>
      </c>
      <c r="C344" s="17" t="str">
        <f t="shared" si="5"/>
        <v>EU</v>
      </c>
      <c r="D344" s="12">
        <v>0</v>
      </c>
    </row>
    <row r="345" spans="1:4" x14ac:dyDescent="0.25">
      <c r="A345" s="4" t="s">
        <v>427</v>
      </c>
      <c r="B345" s="4" t="s">
        <v>118</v>
      </c>
      <c r="C345" s="17" t="str">
        <f t="shared" si="5"/>
        <v>EU</v>
      </c>
      <c r="D345" s="12">
        <v>0</v>
      </c>
    </row>
    <row r="346" spans="1:4" x14ac:dyDescent="0.25">
      <c r="A346" s="4" t="s">
        <v>428</v>
      </c>
      <c r="B346" s="4" t="s">
        <v>118</v>
      </c>
      <c r="C346" s="17" t="str">
        <f t="shared" si="5"/>
        <v>EU</v>
      </c>
      <c r="D346" s="12">
        <v>0</v>
      </c>
    </row>
    <row r="347" spans="1:4" x14ac:dyDescent="0.25">
      <c r="A347" s="4" t="s">
        <v>429</v>
      </c>
      <c r="B347" s="4" t="s">
        <v>118</v>
      </c>
      <c r="C347" s="17" t="str">
        <f t="shared" si="5"/>
        <v>EU</v>
      </c>
      <c r="D347" s="12">
        <v>0</v>
      </c>
    </row>
    <row r="348" spans="1:4" x14ac:dyDescent="0.25">
      <c r="A348" s="4" t="s">
        <v>430</v>
      </c>
      <c r="B348" s="4" t="s">
        <v>118</v>
      </c>
      <c r="C348" s="17" t="str">
        <f t="shared" si="5"/>
        <v>EU</v>
      </c>
      <c r="D348" s="12">
        <v>0</v>
      </c>
    </row>
    <row r="349" spans="1:4" x14ac:dyDescent="0.25">
      <c r="A349" s="4" t="s">
        <v>431</v>
      </c>
      <c r="B349" s="4" t="s">
        <v>118</v>
      </c>
      <c r="C349" s="17" t="str">
        <f t="shared" si="5"/>
        <v>EU</v>
      </c>
      <c r="D349" s="12">
        <v>0</v>
      </c>
    </row>
    <row r="350" spans="1:4" x14ac:dyDescent="0.25">
      <c r="A350" s="4" t="s">
        <v>432</v>
      </c>
      <c r="B350" s="4" t="s">
        <v>118</v>
      </c>
      <c r="C350" s="17" t="str">
        <f t="shared" si="5"/>
        <v>EU</v>
      </c>
      <c r="D350" s="12">
        <v>0</v>
      </c>
    </row>
    <row r="351" spans="1:4" x14ac:dyDescent="0.25">
      <c r="A351" s="4" t="s">
        <v>433</v>
      </c>
      <c r="B351" s="4" t="s">
        <v>118</v>
      </c>
      <c r="C351" s="17" t="str">
        <f t="shared" si="5"/>
        <v>EU</v>
      </c>
      <c r="D351" s="12">
        <v>0</v>
      </c>
    </row>
    <row r="352" spans="1:4" x14ac:dyDescent="0.25">
      <c r="A352" s="4" t="s">
        <v>434</v>
      </c>
      <c r="B352" s="4" t="s">
        <v>118</v>
      </c>
      <c r="C352" s="17" t="str">
        <f t="shared" si="5"/>
        <v>EU</v>
      </c>
      <c r="D352" s="12">
        <v>0</v>
      </c>
    </row>
    <row r="353" spans="1:4" x14ac:dyDescent="0.25">
      <c r="A353" s="4" t="s">
        <v>435</v>
      </c>
      <c r="B353" s="4" t="s">
        <v>118</v>
      </c>
      <c r="C353" s="17" t="str">
        <f t="shared" si="5"/>
        <v>EU</v>
      </c>
      <c r="D353" s="12">
        <v>0</v>
      </c>
    </row>
    <row r="354" spans="1:4" x14ac:dyDescent="0.25">
      <c r="A354" s="20" t="s">
        <v>416</v>
      </c>
      <c r="B354" s="4" t="s">
        <v>188</v>
      </c>
      <c r="C354" s="17" t="str">
        <f t="shared" si="5"/>
        <v>5002</v>
      </c>
      <c r="D354" s="12">
        <v>0</v>
      </c>
    </row>
    <row r="355" spans="1:4" x14ac:dyDescent="0.25">
      <c r="A355" s="4" t="s">
        <v>417</v>
      </c>
      <c r="B355" s="4" t="s">
        <v>188</v>
      </c>
      <c r="C355" s="17" t="str">
        <f t="shared" si="5"/>
        <v>5002</v>
      </c>
      <c r="D355" s="12">
        <v>0</v>
      </c>
    </row>
    <row r="356" spans="1:4" x14ac:dyDescent="0.25">
      <c r="A356" s="4" t="s">
        <v>418</v>
      </c>
      <c r="B356" s="4" t="s">
        <v>188</v>
      </c>
      <c r="C356" s="17" t="str">
        <f t="shared" si="5"/>
        <v>5002</v>
      </c>
      <c r="D356" s="12">
        <v>0</v>
      </c>
    </row>
    <row r="357" spans="1:4" x14ac:dyDescent="0.25">
      <c r="A357" s="4" t="s">
        <v>419</v>
      </c>
      <c r="B357" s="4" t="s">
        <v>188</v>
      </c>
      <c r="C357" s="17" t="str">
        <f t="shared" si="5"/>
        <v>5002</v>
      </c>
      <c r="D357" s="12">
        <v>0</v>
      </c>
    </row>
    <row r="358" spans="1:4" x14ac:dyDescent="0.25">
      <c r="A358" s="4" t="s">
        <v>420</v>
      </c>
      <c r="B358" s="4" t="s">
        <v>188</v>
      </c>
      <c r="C358" s="17" t="str">
        <f t="shared" si="5"/>
        <v>5002</v>
      </c>
      <c r="D358" s="12">
        <v>0</v>
      </c>
    </row>
    <row r="359" spans="1:4" x14ac:dyDescent="0.25">
      <c r="A359" s="4" t="s">
        <v>421</v>
      </c>
      <c r="B359" s="4" t="s">
        <v>188</v>
      </c>
      <c r="C359" s="17" t="str">
        <f t="shared" si="5"/>
        <v>5002</v>
      </c>
      <c r="D359" s="12">
        <v>0</v>
      </c>
    </row>
    <row r="360" spans="1:4" x14ac:dyDescent="0.25">
      <c r="A360" s="4" t="s">
        <v>422</v>
      </c>
      <c r="B360" s="4" t="s">
        <v>188</v>
      </c>
      <c r="C360" s="17" t="str">
        <f t="shared" si="5"/>
        <v>5002</v>
      </c>
      <c r="D360" s="12">
        <v>0</v>
      </c>
    </row>
    <row r="361" spans="1:4" x14ac:dyDescent="0.25">
      <c r="A361" s="4" t="s">
        <v>423</v>
      </c>
      <c r="B361" s="4" t="s">
        <v>188</v>
      </c>
      <c r="C361" s="17" t="str">
        <f t="shared" si="5"/>
        <v>5002</v>
      </c>
      <c r="D361" s="12">
        <v>0</v>
      </c>
    </row>
    <row r="362" spans="1:4" x14ac:dyDescent="0.25">
      <c r="A362" s="4" t="s">
        <v>424</v>
      </c>
      <c r="B362" s="4" t="s">
        <v>188</v>
      </c>
      <c r="C362" s="17" t="str">
        <f t="shared" si="5"/>
        <v>5002</v>
      </c>
      <c r="D362" s="12">
        <v>0</v>
      </c>
    </row>
    <row r="363" spans="1:4" x14ac:dyDescent="0.25">
      <c r="A363" s="4" t="s">
        <v>425</v>
      </c>
      <c r="B363" s="4" t="s">
        <v>188</v>
      </c>
      <c r="C363" s="17" t="str">
        <f t="shared" si="5"/>
        <v>5002</v>
      </c>
      <c r="D363" s="12">
        <v>0</v>
      </c>
    </row>
    <row r="364" spans="1:4" x14ac:dyDescent="0.25">
      <c r="A364" s="4" t="s">
        <v>426</v>
      </c>
      <c r="B364" s="4" t="s">
        <v>188</v>
      </c>
      <c r="C364" s="17" t="str">
        <f t="shared" si="5"/>
        <v>5002</v>
      </c>
      <c r="D364" s="12">
        <v>0</v>
      </c>
    </row>
    <row r="365" spans="1:4" x14ac:dyDescent="0.25">
      <c r="A365" s="4" t="s">
        <v>427</v>
      </c>
      <c r="B365" s="4" t="s">
        <v>188</v>
      </c>
      <c r="C365" s="17" t="str">
        <f t="shared" si="5"/>
        <v>5002</v>
      </c>
      <c r="D365" s="12">
        <v>0</v>
      </c>
    </row>
    <row r="366" spans="1:4" x14ac:dyDescent="0.25">
      <c r="A366" s="4" t="s">
        <v>428</v>
      </c>
      <c r="B366" s="4" t="s">
        <v>188</v>
      </c>
      <c r="C366" s="17" t="str">
        <f t="shared" si="5"/>
        <v>5002</v>
      </c>
      <c r="D366" s="12">
        <v>0</v>
      </c>
    </row>
    <row r="367" spans="1:4" x14ac:dyDescent="0.25">
      <c r="A367" s="4" t="s">
        <v>429</v>
      </c>
      <c r="B367" s="4" t="s">
        <v>188</v>
      </c>
      <c r="C367" s="17" t="str">
        <f t="shared" si="5"/>
        <v>5002</v>
      </c>
      <c r="D367" s="12">
        <v>0</v>
      </c>
    </row>
    <row r="368" spans="1:4" x14ac:dyDescent="0.25">
      <c r="A368" s="4" t="s">
        <v>430</v>
      </c>
      <c r="B368" s="4" t="s">
        <v>188</v>
      </c>
      <c r="C368" s="17" t="str">
        <f t="shared" si="5"/>
        <v>5002</v>
      </c>
      <c r="D368" s="12">
        <v>0</v>
      </c>
    </row>
    <row r="369" spans="1:4" x14ac:dyDescent="0.25">
      <c r="A369" s="4" t="s">
        <v>431</v>
      </c>
      <c r="B369" s="4" t="s">
        <v>188</v>
      </c>
      <c r="C369" s="17" t="str">
        <f t="shared" si="5"/>
        <v>5002</v>
      </c>
      <c r="D369" s="12">
        <v>0</v>
      </c>
    </row>
    <row r="370" spans="1:4" x14ac:dyDescent="0.25">
      <c r="A370" s="4" t="s">
        <v>432</v>
      </c>
      <c r="B370" s="4" t="s">
        <v>188</v>
      </c>
      <c r="C370" s="17" t="str">
        <f t="shared" si="5"/>
        <v>5002</v>
      </c>
      <c r="D370" s="12">
        <v>0</v>
      </c>
    </row>
    <row r="371" spans="1:4" x14ac:dyDescent="0.25">
      <c r="A371" s="4" t="s">
        <v>433</v>
      </c>
      <c r="B371" s="4" t="s">
        <v>188</v>
      </c>
      <c r="C371" s="17" t="str">
        <f t="shared" si="5"/>
        <v>5002</v>
      </c>
      <c r="D371" s="12">
        <v>0</v>
      </c>
    </row>
    <row r="372" spans="1:4" x14ac:dyDescent="0.25">
      <c r="A372" s="4" t="s">
        <v>434</v>
      </c>
      <c r="B372" s="4" t="s">
        <v>188</v>
      </c>
      <c r="C372" s="17" t="str">
        <f t="shared" si="5"/>
        <v>5002</v>
      </c>
      <c r="D372" s="12">
        <v>0</v>
      </c>
    </row>
    <row r="373" spans="1:4" x14ac:dyDescent="0.25">
      <c r="A373" s="4" t="s">
        <v>435</v>
      </c>
      <c r="B373" s="4" t="s">
        <v>188</v>
      </c>
      <c r="C373" s="17" t="str">
        <f t="shared" si="5"/>
        <v>5002</v>
      </c>
      <c r="D373" s="12">
        <v>0</v>
      </c>
    </row>
    <row r="374" spans="1:4" x14ac:dyDescent="0.25">
      <c r="A374" s="20" t="s">
        <v>436</v>
      </c>
      <c r="B374" s="4" t="s">
        <v>119</v>
      </c>
      <c r="C374" s="17" t="str">
        <f t="shared" si="5"/>
        <v>EU</v>
      </c>
      <c r="D374" s="12">
        <v>0</v>
      </c>
    </row>
    <row r="375" spans="1:4" x14ac:dyDescent="0.25">
      <c r="A375" s="4" t="s">
        <v>437</v>
      </c>
      <c r="B375" s="4" t="s">
        <v>119</v>
      </c>
      <c r="C375" s="17" t="str">
        <f t="shared" si="5"/>
        <v>EU</v>
      </c>
      <c r="D375" s="12">
        <v>0</v>
      </c>
    </row>
    <row r="376" spans="1:4" x14ac:dyDescent="0.25">
      <c r="A376" s="20" t="s">
        <v>436</v>
      </c>
      <c r="B376" s="4" t="s">
        <v>190</v>
      </c>
      <c r="C376" s="17" t="str">
        <f t="shared" si="5"/>
        <v>TW</v>
      </c>
      <c r="D376" s="12">
        <v>0</v>
      </c>
    </row>
    <row r="377" spans="1:4" x14ac:dyDescent="0.25">
      <c r="A377" s="4" t="s">
        <v>437</v>
      </c>
      <c r="B377" s="4" t="s">
        <v>190</v>
      </c>
      <c r="C377" s="17" t="str">
        <f t="shared" si="5"/>
        <v>TW</v>
      </c>
      <c r="D377" s="12">
        <v>0</v>
      </c>
    </row>
    <row r="378" spans="1:4" x14ac:dyDescent="0.25">
      <c r="A378" s="20" t="s">
        <v>436</v>
      </c>
      <c r="B378" s="4" t="s">
        <v>120</v>
      </c>
      <c r="C378" s="17" t="str">
        <f t="shared" si="5"/>
        <v>US</v>
      </c>
      <c r="D378" s="12">
        <v>0</v>
      </c>
    </row>
    <row r="379" spans="1:4" x14ac:dyDescent="0.25">
      <c r="A379" s="4" t="s">
        <v>437</v>
      </c>
      <c r="B379" s="4" t="s">
        <v>120</v>
      </c>
      <c r="C379" s="17" t="str">
        <f t="shared" si="5"/>
        <v>US</v>
      </c>
      <c r="D379" s="12">
        <v>0</v>
      </c>
    </row>
    <row r="380" spans="1:4" x14ac:dyDescent="0.25">
      <c r="A380" s="20" t="s">
        <v>436</v>
      </c>
      <c r="B380" s="4" t="s">
        <v>191</v>
      </c>
      <c r="C380" s="17" t="str">
        <f t="shared" si="5"/>
        <v>KR</v>
      </c>
      <c r="D380" s="12">
        <v>0</v>
      </c>
    </row>
    <row r="381" spans="1:4" x14ac:dyDescent="0.25">
      <c r="A381" s="4" t="s">
        <v>437</v>
      </c>
      <c r="B381" s="4" t="s">
        <v>191</v>
      </c>
      <c r="C381" s="17" t="str">
        <f t="shared" si="5"/>
        <v>KR</v>
      </c>
      <c r="D381" s="12">
        <v>0</v>
      </c>
    </row>
    <row r="382" spans="1:4" x14ac:dyDescent="0.25">
      <c r="A382" s="20" t="s">
        <v>436</v>
      </c>
      <c r="B382" s="4" t="s">
        <v>192</v>
      </c>
      <c r="C382" s="17" t="str">
        <f t="shared" si="5"/>
        <v>5002</v>
      </c>
      <c r="D382" s="12">
        <v>0</v>
      </c>
    </row>
    <row r="383" spans="1:4" x14ac:dyDescent="0.25">
      <c r="A383" s="4" t="s">
        <v>437</v>
      </c>
      <c r="B383" s="4" t="s">
        <v>192</v>
      </c>
      <c r="C383" s="17" t="str">
        <f t="shared" si="5"/>
        <v>5002</v>
      </c>
      <c r="D383" s="12">
        <v>0</v>
      </c>
    </row>
    <row r="384" spans="1:4" x14ac:dyDescent="0.25">
      <c r="A384" s="20" t="s">
        <v>438</v>
      </c>
      <c r="B384" s="4" t="s">
        <v>121</v>
      </c>
      <c r="C384" s="17" t="str">
        <f t="shared" si="5"/>
        <v>EU</v>
      </c>
      <c r="D384" s="12">
        <v>0</v>
      </c>
    </row>
    <row r="385" spans="1:4" x14ac:dyDescent="0.25">
      <c r="A385" s="4" t="s">
        <v>439</v>
      </c>
      <c r="B385" s="4" t="s">
        <v>121</v>
      </c>
      <c r="C385" s="17" t="str">
        <f t="shared" si="5"/>
        <v>EU</v>
      </c>
      <c r="D385" s="12">
        <v>0</v>
      </c>
    </row>
    <row r="386" spans="1:4" x14ac:dyDescent="0.25">
      <c r="A386" s="4" t="s">
        <v>440</v>
      </c>
      <c r="B386" s="4" t="s">
        <v>121</v>
      </c>
      <c r="C386" s="17" t="str">
        <f t="shared" ref="C386:C449" si="6">VLOOKUP(B386, quota_order_numbers2, 6, FALSE)</f>
        <v>EU</v>
      </c>
      <c r="D386" s="12">
        <v>0</v>
      </c>
    </row>
    <row r="387" spans="1:4" x14ac:dyDescent="0.25">
      <c r="A387" s="4" t="s">
        <v>441</v>
      </c>
      <c r="B387" s="4" t="s">
        <v>121</v>
      </c>
      <c r="C387" s="17" t="str">
        <f t="shared" si="6"/>
        <v>EU</v>
      </c>
      <c r="D387" s="12">
        <v>0</v>
      </c>
    </row>
    <row r="388" spans="1:4" x14ac:dyDescent="0.25">
      <c r="A388" s="4" t="s">
        <v>442</v>
      </c>
      <c r="B388" s="4" t="s">
        <v>121</v>
      </c>
      <c r="C388" s="17" t="str">
        <f t="shared" si="6"/>
        <v>EU</v>
      </c>
      <c r="D388" s="12">
        <v>0</v>
      </c>
    </row>
    <row r="389" spans="1:4" x14ac:dyDescent="0.25">
      <c r="A389" s="4" t="s">
        <v>443</v>
      </c>
      <c r="B389" s="4" t="s">
        <v>121</v>
      </c>
      <c r="C389" s="17" t="str">
        <f t="shared" si="6"/>
        <v>EU</v>
      </c>
      <c r="D389" s="12">
        <v>0</v>
      </c>
    </row>
    <row r="390" spans="1:4" x14ac:dyDescent="0.25">
      <c r="A390" s="4" t="s">
        <v>444</v>
      </c>
      <c r="B390" s="4" t="s">
        <v>121</v>
      </c>
      <c r="C390" s="17" t="str">
        <f t="shared" si="6"/>
        <v>EU</v>
      </c>
      <c r="D390" s="12">
        <v>0</v>
      </c>
    </row>
    <row r="391" spans="1:4" x14ac:dyDescent="0.25">
      <c r="A391" s="4" t="s">
        <v>445</v>
      </c>
      <c r="B391" s="4" t="s">
        <v>121</v>
      </c>
      <c r="C391" s="17" t="str">
        <f t="shared" si="6"/>
        <v>EU</v>
      </c>
      <c r="D391" s="12">
        <v>0</v>
      </c>
    </row>
    <row r="392" spans="1:4" x14ac:dyDescent="0.25">
      <c r="A392" s="4" t="s">
        <v>446</v>
      </c>
      <c r="B392" s="4" t="s">
        <v>121</v>
      </c>
      <c r="C392" s="17" t="str">
        <f t="shared" si="6"/>
        <v>EU</v>
      </c>
      <c r="D392" s="12">
        <v>0</v>
      </c>
    </row>
    <row r="393" spans="1:4" x14ac:dyDescent="0.25">
      <c r="A393" s="4" t="s">
        <v>447</v>
      </c>
      <c r="B393" s="4" t="s">
        <v>121</v>
      </c>
      <c r="C393" s="17" t="str">
        <f t="shared" si="6"/>
        <v>EU</v>
      </c>
      <c r="D393" s="12">
        <v>0</v>
      </c>
    </row>
    <row r="394" spans="1:4" x14ac:dyDescent="0.25">
      <c r="A394" s="4" t="s">
        <v>448</v>
      </c>
      <c r="B394" s="4" t="s">
        <v>121</v>
      </c>
      <c r="C394" s="17" t="str">
        <f t="shared" si="6"/>
        <v>EU</v>
      </c>
      <c r="D394" s="12">
        <v>0</v>
      </c>
    </row>
    <row r="395" spans="1:4" x14ac:dyDescent="0.25">
      <c r="A395" s="4" t="s">
        <v>449</v>
      </c>
      <c r="B395" s="4" t="s">
        <v>121</v>
      </c>
      <c r="C395" s="17" t="str">
        <f t="shared" si="6"/>
        <v>EU</v>
      </c>
      <c r="D395" s="12">
        <v>0</v>
      </c>
    </row>
    <row r="396" spans="1:4" x14ac:dyDescent="0.25">
      <c r="A396" s="4" t="s">
        <v>450</v>
      </c>
      <c r="B396" s="4" t="s">
        <v>121</v>
      </c>
      <c r="C396" s="17" t="str">
        <f t="shared" si="6"/>
        <v>EU</v>
      </c>
      <c r="D396" s="12">
        <v>0</v>
      </c>
    </row>
    <row r="397" spans="1:4" x14ac:dyDescent="0.25">
      <c r="A397" s="4" t="s">
        <v>451</v>
      </c>
      <c r="B397" s="4" t="s">
        <v>121</v>
      </c>
      <c r="C397" s="17" t="str">
        <f t="shared" si="6"/>
        <v>EU</v>
      </c>
      <c r="D397" s="12">
        <v>0</v>
      </c>
    </row>
    <row r="398" spans="1:4" x14ac:dyDescent="0.25">
      <c r="A398" s="4" t="s">
        <v>452</v>
      </c>
      <c r="B398" s="4" t="s">
        <v>121</v>
      </c>
      <c r="C398" s="17" t="str">
        <f t="shared" si="6"/>
        <v>EU</v>
      </c>
      <c r="D398" s="12">
        <v>0</v>
      </c>
    </row>
    <row r="399" spans="1:4" x14ac:dyDescent="0.25">
      <c r="A399" s="20" t="s">
        <v>438</v>
      </c>
      <c r="B399" s="4" t="s">
        <v>194</v>
      </c>
      <c r="C399" s="17" t="str">
        <f t="shared" si="6"/>
        <v>5002</v>
      </c>
      <c r="D399" s="12">
        <v>0</v>
      </c>
    </row>
    <row r="400" spans="1:4" x14ac:dyDescent="0.25">
      <c r="A400" s="4" t="s">
        <v>439</v>
      </c>
      <c r="B400" s="4" t="s">
        <v>194</v>
      </c>
      <c r="C400" s="17" t="str">
        <f t="shared" si="6"/>
        <v>5002</v>
      </c>
      <c r="D400" s="12">
        <v>0</v>
      </c>
    </row>
    <row r="401" spans="1:4" x14ac:dyDescent="0.25">
      <c r="A401" s="4" t="s">
        <v>440</v>
      </c>
      <c r="B401" s="4" t="s">
        <v>194</v>
      </c>
      <c r="C401" s="17" t="str">
        <f t="shared" si="6"/>
        <v>5002</v>
      </c>
      <c r="D401" s="12">
        <v>0</v>
      </c>
    </row>
    <row r="402" spans="1:4" x14ac:dyDescent="0.25">
      <c r="A402" s="4" t="s">
        <v>441</v>
      </c>
      <c r="B402" s="4" t="s">
        <v>194</v>
      </c>
      <c r="C402" s="17" t="str">
        <f t="shared" si="6"/>
        <v>5002</v>
      </c>
      <c r="D402" s="12">
        <v>0</v>
      </c>
    </row>
    <row r="403" spans="1:4" x14ac:dyDescent="0.25">
      <c r="A403" s="4" t="s">
        <v>442</v>
      </c>
      <c r="B403" s="4" t="s">
        <v>194</v>
      </c>
      <c r="C403" s="17" t="str">
        <f t="shared" si="6"/>
        <v>5002</v>
      </c>
      <c r="D403" s="12">
        <v>0</v>
      </c>
    </row>
    <row r="404" spans="1:4" x14ac:dyDescent="0.25">
      <c r="A404" s="4" t="s">
        <v>443</v>
      </c>
      <c r="B404" s="4" t="s">
        <v>194</v>
      </c>
      <c r="C404" s="17" t="str">
        <f t="shared" si="6"/>
        <v>5002</v>
      </c>
      <c r="D404" s="12">
        <v>0</v>
      </c>
    </row>
    <row r="405" spans="1:4" x14ac:dyDescent="0.25">
      <c r="A405" s="4" t="s">
        <v>444</v>
      </c>
      <c r="B405" s="4" t="s">
        <v>194</v>
      </c>
      <c r="C405" s="17" t="str">
        <f t="shared" si="6"/>
        <v>5002</v>
      </c>
      <c r="D405" s="12">
        <v>0</v>
      </c>
    </row>
    <row r="406" spans="1:4" x14ac:dyDescent="0.25">
      <c r="A406" s="4" t="s">
        <v>445</v>
      </c>
      <c r="B406" s="4" t="s">
        <v>194</v>
      </c>
      <c r="C406" s="17" t="str">
        <f t="shared" si="6"/>
        <v>5002</v>
      </c>
      <c r="D406" s="12">
        <v>0</v>
      </c>
    </row>
    <row r="407" spans="1:4" x14ac:dyDescent="0.25">
      <c r="A407" s="4" t="s">
        <v>446</v>
      </c>
      <c r="B407" s="4" t="s">
        <v>194</v>
      </c>
      <c r="C407" s="17" t="str">
        <f t="shared" si="6"/>
        <v>5002</v>
      </c>
      <c r="D407" s="12">
        <v>0</v>
      </c>
    </row>
    <row r="408" spans="1:4" x14ac:dyDescent="0.25">
      <c r="A408" s="4" t="s">
        <v>447</v>
      </c>
      <c r="B408" s="4" t="s">
        <v>194</v>
      </c>
      <c r="C408" s="17" t="str">
        <f t="shared" si="6"/>
        <v>5002</v>
      </c>
      <c r="D408" s="12">
        <v>0</v>
      </c>
    </row>
    <row r="409" spans="1:4" x14ac:dyDescent="0.25">
      <c r="A409" s="4" t="s">
        <v>448</v>
      </c>
      <c r="B409" s="4" t="s">
        <v>194</v>
      </c>
      <c r="C409" s="17" t="str">
        <f t="shared" si="6"/>
        <v>5002</v>
      </c>
      <c r="D409" s="12">
        <v>0</v>
      </c>
    </row>
    <row r="410" spans="1:4" x14ac:dyDescent="0.25">
      <c r="A410" s="4" t="s">
        <v>449</v>
      </c>
      <c r="B410" s="4" t="s">
        <v>194</v>
      </c>
      <c r="C410" s="17" t="str">
        <f t="shared" si="6"/>
        <v>5002</v>
      </c>
      <c r="D410" s="12">
        <v>0</v>
      </c>
    </row>
    <row r="411" spans="1:4" x14ac:dyDescent="0.25">
      <c r="A411" s="4" t="s">
        <v>450</v>
      </c>
      <c r="B411" s="4" t="s">
        <v>194</v>
      </c>
      <c r="C411" s="17" t="str">
        <f t="shared" si="6"/>
        <v>5002</v>
      </c>
      <c r="D411" s="12">
        <v>0</v>
      </c>
    </row>
    <row r="412" spans="1:4" x14ac:dyDescent="0.25">
      <c r="A412" s="4" t="s">
        <v>451</v>
      </c>
      <c r="B412" s="4" t="s">
        <v>194</v>
      </c>
      <c r="C412" s="17" t="str">
        <f t="shared" si="6"/>
        <v>5002</v>
      </c>
      <c r="D412" s="12">
        <v>0</v>
      </c>
    </row>
    <row r="413" spans="1:4" x14ac:dyDescent="0.25">
      <c r="A413" s="4" t="s">
        <v>452</v>
      </c>
      <c r="B413" s="4" t="s">
        <v>194</v>
      </c>
      <c r="C413" s="17" t="str">
        <f t="shared" si="6"/>
        <v>5002</v>
      </c>
      <c r="D413" s="12">
        <v>0</v>
      </c>
    </row>
    <row r="414" spans="1:4" x14ac:dyDescent="0.25">
      <c r="A414" s="20" t="s">
        <v>453</v>
      </c>
      <c r="B414" s="4" t="s">
        <v>122</v>
      </c>
      <c r="C414" s="17" t="str">
        <f t="shared" si="6"/>
        <v>EU</v>
      </c>
      <c r="D414" s="12">
        <v>0</v>
      </c>
    </row>
    <row r="415" spans="1:4" x14ac:dyDescent="0.25">
      <c r="A415" s="4" t="s">
        <v>454</v>
      </c>
      <c r="B415" s="4" t="s">
        <v>122</v>
      </c>
      <c r="C415" s="17" t="str">
        <f t="shared" si="6"/>
        <v>EU</v>
      </c>
      <c r="D415" s="12">
        <v>0</v>
      </c>
    </row>
    <row r="416" spans="1:4" x14ac:dyDescent="0.25">
      <c r="A416" s="4" t="s">
        <v>455</v>
      </c>
      <c r="B416" s="4" t="s">
        <v>122</v>
      </c>
      <c r="C416" s="17" t="str">
        <f t="shared" si="6"/>
        <v>EU</v>
      </c>
      <c r="D416" s="12">
        <v>0</v>
      </c>
    </row>
    <row r="417" spans="1:4" x14ac:dyDescent="0.25">
      <c r="A417" s="4" t="s">
        <v>456</v>
      </c>
      <c r="B417" s="4" t="s">
        <v>122</v>
      </c>
      <c r="C417" s="17" t="str">
        <f t="shared" si="6"/>
        <v>EU</v>
      </c>
      <c r="D417" s="12">
        <v>0</v>
      </c>
    </row>
    <row r="418" spans="1:4" x14ac:dyDescent="0.25">
      <c r="A418" s="4" t="s">
        <v>457</v>
      </c>
      <c r="B418" s="4" t="s">
        <v>122</v>
      </c>
      <c r="C418" s="17" t="str">
        <f t="shared" si="6"/>
        <v>EU</v>
      </c>
      <c r="D418" s="12">
        <v>0</v>
      </c>
    </row>
    <row r="419" spans="1:4" x14ac:dyDescent="0.25">
      <c r="A419" s="4" t="s">
        <v>458</v>
      </c>
      <c r="B419" s="4" t="s">
        <v>122</v>
      </c>
      <c r="C419" s="17" t="str">
        <f t="shared" si="6"/>
        <v>EU</v>
      </c>
      <c r="D419" s="12">
        <v>0</v>
      </c>
    </row>
    <row r="420" spans="1:4" x14ac:dyDescent="0.25">
      <c r="A420" s="4" t="s">
        <v>459</v>
      </c>
      <c r="B420" s="4" t="s">
        <v>122</v>
      </c>
      <c r="C420" s="17" t="str">
        <f t="shared" si="6"/>
        <v>EU</v>
      </c>
      <c r="D420" s="12">
        <v>0</v>
      </c>
    </row>
    <row r="421" spans="1:4" x14ac:dyDescent="0.25">
      <c r="A421" s="4" t="s">
        <v>460</v>
      </c>
      <c r="B421" s="4" t="s">
        <v>122</v>
      </c>
      <c r="C421" s="17" t="str">
        <f t="shared" si="6"/>
        <v>EU</v>
      </c>
      <c r="D421" s="12">
        <v>0</v>
      </c>
    </row>
    <row r="422" spans="1:4" x14ac:dyDescent="0.25">
      <c r="A422" s="20" t="s">
        <v>453</v>
      </c>
      <c r="B422" s="4" t="s">
        <v>196</v>
      </c>
      <c r="C422" s="17" t="str">
        <f t="shared" si="6"/>
        <v>5002</v>
      </c>
      <c r="D422" s="12">
        <v>0</v>
      </c>
    </row>
    <row r="423" spans="1:4" x14ac:dyDescent="0.25">
      <c r="A423" s="4" t="s">
        <v>454</v>
      </c>
      <c r="B423" s="4" t="s">
        <v>196</v>
      </c>
      <c r="C423" s="17" t="str">
        <f t="shared" si="6"/>
        <v>5002</v>
      </c>
      <c r="D423" s="12">
        <v>0</v>
      </c>
    </row>
    <row r="424" spans="1:4" x14ac:dyDescent="0.25">
      <c r="A424" s="4" t="s">
        <v>455</v>
      </c>
      <c r="B424" s="4" t="s">
        <v>196</v>
      </c>
      <c r="C424" s="17" t="str">
        <f t="shared" si="6"/>
        <v>5002</v>
      </c>
      <c r="D424" s="12">
        <v>0</v>
      </c>
    </row>
    <row r="425" spans="1:4" x14ac:dyDescent="0.25">
      <c r="A425" s="4" t="s">
        <v>456</v>
      </c>
      <c r="B425" s="4" t="s">
        <v>196</v>
      </c>
      <c r="C425" s="17" t="str">
        <f t="shared" si="6"/>
        <v>5002</v>
      </c>
      <c r="D425" s="12">
        <v>0</v>
      </c>
    </row>
    <row r="426" spans="1:4" x14ac:dyDescent="0.25">
      <c r="A426" s="4" t="s">
        <v>457</v>
      </c>
      <c r="B426" s="4" t="s">
        <v>196</v>
      </c>
      <c r="C426" s="17" t="str">
        <f t="shared" si="6"/>
        <v>5002</v>
      </c>
      <c r="D426" s="12">
        <v>0</v>
      </c>
    </row>
    <row r="427" spans="1:4" x14ac:dyDescent="0.25">
      <c r="A427" s="4" t="s">
        <v>458</v>
      </c>
      <c r="B427" s="4" t="s">
        <v>196</v>
      </c>
      <c r="C427" s="17" t="str">
        <f t="shared" si="6"/>
        <v>5002</v>
      </c>
      <c r="D427" s="12">
        <v>0</v>
      </c>
    </row>
    <row r="428" spans="1:4" x14ac:dyDescent="0.25">
      <c r="A428" s="4" t="s">
        <v>459</v>
      </c>
      <c r="B428" s="4" t="s">
        <v>196</v>
      </c>
      <c r="C428" s="17" t="str">
        <f t="shared" si="6"/>
        <v>5002</v>
      </c>
      <c r="D428" s="12">
        <v>0</v>
      </c>
    </row>
    <row r="429" spans="1:4" x14ac:dyDescent="0.25">
      <c r="A429" s="4" t="s">
        <v>460</v>
      </c>
      <c r="B429" s="4" t="s">
        <v>196</v>
      </c>
      <c r="C429" s="17" t="str">
        <f t="shared" si="6"/>
        <v>5002</v>
      </c>
      <c r="D429" s="12">
        <v>0</v>
      </c>
    </row>
    <row r="430" spans="1:4" x14ac:dyDescent="0.25">
      <c r="A430" s="20" t="s">
        <v>461</v>
      </c>
      <c r="B430" s="4" t="s">
        <v>123</v>
      </c>
      <c r="C430" s="17" t="str">
        <f t="shared" si="6"/>
        <v>EU</v>
      </c>
      <c r="D430" s="12">
        <v>0</v>
      </c>
    </row>
    <row r="431" spans="1:4" x14ac:dyDescent="0.25">
      <c r="A431" s="4" t="s">
        <v>462</v>
      </c>
      <c r="B431" s="4" t="s">
        <v>123</v>
      </c>
      <c r="C431" s="17" t="str">
        <f t="shared" si="6"/>
        <v>EU</v>
      </c>
      <c r="D431" s="12">
        <v>0</v>
      </c>
    </row>
    <row r="432" spans="1:4" x14ac:dyDescent="0.25">
      <c r="A432" s="4" t="s">
        <v>463</v>
      </c>
      <c r="B432" s="4" t="s">
        <v>123</v>
      </c>
      <c r="C432" s="17" t="str">
        <f t="shared" si="6"/>
        <v>EU</v>
      </c>
      <c r="D432" s="12">
        <v>0</v>
      </c>
    </row>
    <row r="433" spans="1:4" x14ac:dyDescent="0.25">
      <c r="A433" s="4" t="s">
        <v>464</v>
      </c>
      <c r="B433" s="4" t="s">
        <v>123</v>
      </c>
      <c r="C433" s="17" t="str">
        <f t="shared" si="6"/>
        <v>EU</v>
      </c>
      <c r="D433" s="12">
        <v>0</v>
      </c>
    </row>
    <row r="434" spans="1:4" x14ac:dyDescent="0.25">
      <c r="A434" s="4" t="s">
        <v>465</v>
      </c>
      <c r="B434" s="4" t="s">
        <v>123</v>
      </c>
      <c r="C434" s="17" t="str">
        <f t="shared" si="6"/>
        <v>EU</v>
      </c>
      <c r="D434" s="12">
        <v>0</v>
      </c>
    </row>
    <row r="435" spans="1:4" x14ac:dyDescent="0.25">
      <c r="A435" s="20" t="s">
        <v>461</v>
      </c>
      <c r="B435" s="4" t="s">
        <v>198</v>
      </c>
      <c r="C435" s="17" t="str">
        <f t="shared" si="6"/>
        <v>CN</v>
      </c>
      <c r="D435" s="12">
        <v>0</v>
      </c>
    </row>
    <row r="436" spans="1:4" x14ac:dyDescent="0.25">
      <c r="A436" s="4" t="s">
        <v>462</v>
      </c>
      <c r="B436" s="4" t="s">
        <v>198</v>
      </c>
      <c r="C436" s="17" t="str">
        <f t="shared" si="6"/>
        <v>CN</v>
      </c>
      <c r="D436" s="12">
        <v>0</v>
      </c>
    </row>
    <row r="437" spans="1:4" x14ac:dyDescent="0.25">
      <c r="A437" s="4" t="s">
        <v>463</v>
      </c>
      <c r="B437" s="4" t="s">
        <v>198</v>
      </c>
      <c r="C437" s="17" t="str">
        <f t="shared" si="6"/>
        <v>CN</v>
      </c>
      <c r="D437" s="12">
        <v>0</v>
      </c>
    </row>
    <row r="438" spans="1:4" x14ac:dyDescent="0.25">
      <c r="A438" s="4" t="s">
        <v>464</v>
      </c>
      <c r="B438" s="4" t="s">
        <v>198</v>
      </c>
      <c r="C438" s="17" t="str">
        <f t="shared" si="6"/>
        <v>CN</v>
      </c>
      <c r="D438" s="12">
        <v>0</v>
      </c>
    </row>
    <row r="439" spans="1:4" x14ac:dyDescent="0.25">
      <c r="A439" s="4" t="s">
        <v>465</v>
      </c>
      <c r="B439" s="4" t="s">
        <v>198</v>
      </c>
      <c r="C439" s="17" t="str">
        <f t="shared" si="6"/>
        <v>CN</v>
      </c>
      <c r="D439" s="12">
        <v>0</v>
      </c>
    </row>
    <row r="440" spans="1:4" x14ac:dyDescent="0.25">
      <c r="A440" s="20" t="s">
        <v>461</v>
      </c>
      <c r="B440" s="4" t="s">
        <v>199</v>
      </c>
      <c r="C440" s="17" t="str">
        <f t="shared" si="6"/>
        <v>5002</v>
      </c>
      <c r="D440" s="12">
        <v>0</v>
      </c>
    </row>
    <row r="441" spans="1:4" x14ac:dyDescent="0.25">
      <c r="A441" s="4" t="s">
        <v>462</v>
      </c>
      <c r="B441" s="4" t="s">
        <v>199</v>
      </c>
      <c r="C441" s="17" t="str">
        <f t="shared" si="6"/>
        <v>5002</v>
      </c>
      <c r="D441" s="12">
        <v>0</v>
      </c>
    </row>
    <row r="442" spans="1:4" x14ac:dyDescent="0.25">
      <c r="A442" s="4" t="s">
        <v>463</v>
      </c>
      <c r="B442" s="4" t="s">
        <v>199</v>
      </c>
      <c r="C442" s="17" t="str">
        <f t="shared" si="6"/>
        <v>5002</v>
      </c>
      <c r="D442" s="12">
        <v>0</v>
      </c>
    </row>
    <row r="443" spans="1:4" x14ac:dyDescent="0.25">
      <c r="A443" s="4" t="s">
        <v>464</v>
      </c>
      <c r="B443" s="4" t="s">
        <v>199</v>
      </c>
      <c r="C443" s="17" t="str">
        <f t="shared" si="6"/>
        <v>5002</v>
      </c>
      <c r="D443" s="12">
        <v>0</v>
      </c>
    </row>
    <row r="444" spans="1:4" x14ac:dyDescent="0.25">
      <c r="A444" s="4" t="s">
        <v>465</v>
      </c>
      <c r="B444" s="4" t="s">
        <v>199</v>
      </c>
      <c r="C444" s="17" t="str">
        <f t="shared" si="6"/>
        <v>5002</v>
      </c>
      <c r="D444" s="12">
        <v>0</v>
      </c>
    </row>
    <row r="445" spans="1:4" x14ac:dyDescent="0.25">
      <c r="A445" s="20" t="s">
        <v>466</v>
      </c>
      <c r="B445" s="4" t="s">
        <v>200</v>
      </c>
      <c r="C445" s="17" t="str">
        <f t="shared" si="6"/>
        <v>TR</v>
      </c>
      <c r="D445" s="12">
        <v>0</v>
      </c>
    </row>
    <row r="446" spans="1:4" x14ac:dyDescent="0.25">
      <c r="A446" s="4" t="s">
        <v>467</v>
      </c>
      <c r="B446" s="4" t="s">
        <v>200</v>
      </c>
      <c r="C446" s="17" t="str">
        <f t="shared" si="6"/>
        <v>TR</v>
      </c>
      <c r="D446" s="12">
        <v>0</v>
      </c>
    </row>
    <row r="447" spans="1:4" x14ac:dyDescent="0.25">
      <c r="A447" s="4" t="s">
        <v>468</v>
      </c>
      <c r="B447" s="4" t="s">
        <v>200</v>
      </c>
      <c r="C447" s="17" t="str">
        <f t="shared" si="6"/>
        <v>TR</v>
      </c>
      <c r="D447" s="12">
        <v>0</v>
      </c>
    </row>
    <row r="448" spans="1:4" x14ac:dyDescent="0.25">
      <c r="A448" s="4" t="s">
        <v>469</v>
      </c>
      <c r="B448" s="4" t="s">
        <v>200</v>
      </c>
      <c r="C448" s="17" t="str">
        <f t="shared" si="6"/>
        <v>TR</v>
      </c>
      <c r="D448" s="12">
        <v>0</v>
      </c>
    </row>
    <row r="449" spans="1:4" x14ac:dyDescent="0.25">
      <c r="A449" s="20" t="s">
        <v>466</v>
      </c>
      <c r="B449" s="4" t="s">
        <v>124</v>
      </c>
      <c r="C449" s="17" t="str">
        <f t="shared" si="6"/>
        <v>EU</v>
      </c>
      <c r="D449" s="12">
        <v>0</v>
      </c>
    </row>
    <row r="450" spans="1:4" x14ac:dyDescent="0.25">
      <c r="A450" s="4" t="s">
        <v>467</v>
      </c>
      <c r="B450" s="4" t="s">
        <v>124</v>
      </c>
      <c r="C450" s="17" t="str">
        <f t="shared" ref="C450:C513" si="7">VLOOKUP(B450, quota_order_numbers2, 6, FALSE)</f>
        <v>EU</v>
      </c>
      <c r="D450" s="12">
        <v>0</v>
      </c>
    </row>
    <row r="451" spans="1:4" x14ac:dyDescent="0.25">
      <c r="A451" s="4" t="s">
        <v>468</v>
      </c>
      <c r="B451" s="4" t="s">
        <v>124</v>
      </c>
      <c r="C451" s="17" t="str">
        <f t="shared" si="7"/>
        <v>EU</v>
      </c>
      <c r="D451" s="12">
        <v>0</v>
      </c>
    </row>
    <row r="452" spans="1:4" x14ac:dyDescent="0.25">
      <c r="A452" s="4" t="s">
        <v>469</v>
      </c>
      <c r="B452" s="4" t="s">
        <v>124</v>
      </c>
      <c r="C452" s="17" t="str">
        <f t="shared" si="7"/>
        <v>EU</v>
      </c>
      <c r="D452" s="12">
        <v>0</v>
      </c>
    </row>
    <row r="453" spans="1:4" x14ac:dyDescent="0.25">
      <c r="A453" s="20" t="s">
        <v>466</v>
      </c>
      <c r="B453" s="4" t="s">
        <v>229</v>
      </c>
      <c r="C453" s="17" t="str">
        <f t="shared" si="7"/>
        <v>IN</v>
      </c>
      <c r="D453" s="12">
        <v>0</v>
      </c>
    </row>
    <row r="454" spans="1:4" x14ac:dyDescent="0.25">
      <c r="A454" s="4" t="s">
        <v>467</v>
      </c>
      <c r="B454" s="4" t="s">
        <v>229</v>
      </c>
      <c r="C454" s="17" t="str">
        <f t="shared" si="7"/>
        <v>IN</v>
      </c>
      <c r="D454" s="12">
        <v>0</v>
      </c>
    </row>
    <row r="455" spans="1:4" x14ac:dyDescent="0.25">
      <c r="A455" s="4" t="s">
        <v>468</v>
      </c>
      <c r="B455" s="4" t="s">
        <v>229</v>
      </c>
      <c r="C455" s="17" t="str">
        <f t="shared" si="7"/>
        <v>IN</v>
      </c>
      <c r="D455" s="12">
        <v>0</v>
      </c>
    </row>
    <row r="456" spans="1:4" x14ac:dyDescent="0.25">
      <c r="A456" s="4" t="s">
        <v>469</v>
      </c>
      <c r="B456" s="4" t="s">
        <v>229</v>
      </c>
      <c r="C456" s="17" t="str">
        <f t="shared" si="7"/>
        <v>IN</v>
      </c>
      <c r="D456" s="12">
        <v>0</v>
      </c>
    </row>
    <row r="457" spans="1:4" x14ac:dyDescent="0.25">
      <c r="A457" s="20" t="s">
        <v>466</v>
      </c>
      <c r="B457" s="4" t="s">
        <v>201</v>
      </c>
      <c r="C457" s="17" t="str">
        <f t="shared" si="7"/>
        <v>5002</v>
      </c>
      <c r="D457" s="12">
        <v>0</v>
      </c>
    </row>
    <row r="458" spans="1:4" x14ac:dyDescent="0.25">
      <c r="A458" s="4" t="s">
        <v>467</v>
      </c>
      <c r="B458" s="4" t="s">
        <v>201</v>
      </c>
      <c r="C458" s="17" t="str">
        <f t="shared" si="7"/>
        <v>5002</v>
      </c>
      <c r="D458" s="12">
        <v>0</v>
      </c>
    </row>
    <row r="459" spans="1:4" x14ac:dyDescent="0.25">
      <c r="A459" s="4" t="s">
        <v>468</v>
      </c>
      <c r="B459" s="4" t="s">
        <v>201</v>
      </c>
      <c r="C459" s="17" t="str">
        <f t="shared" si="7"/>
        <v>5002</v>
      </c>
      <c r="D459" s="12">
        <v>0</v>
      </c>
    </row>
    <row r="460" spans="1:4" x14ac:dyDescent="0.25">
      <c r="A460" s="4" t="s">
        <v>469</v>
      </c>
      <c r="B460" s="4" t="s">
        <v>201</v>
      </c>
      <c r="C460" s="17" t="str">
        <f t="shared" si="7"/>
        <v>5002</v>
      </c>
      <c r="D460" s="12">
        <v>0</v>
      </c>
    </row>
    <row r="461" spans="1:4" x14ac:dyDescent="0.25">
      <c r="A461" s="20" t="s">
        <v>470</v>
      </c>
      <c r="B461" s="4" t="s">
        <v>203</v>
      </c>
      <c r="C461" s="17" t="str">
        <f t="shared" si="7"/>
        <v>TR</v>
      </c>
      <c r="D461" s="12">
        <v>0</v>
      </c>
    </row>
    <row r="462" spans="1:4" x14ac:dyDescent="0.25">
      <c r="A462" s="4" t="s">
        <v>471</v>
      </c>
      <c r="B462" s="4" t="s">
        <v>203</v>
      </c>
      <c r="C462" s="17" t="str">
        <f t="shared" si="7"/>
        <v>TR</v>
      </c>
      <c r="D462" s="12">
        <v>0</v>
      </c>
    </row>
    <row r="463" spans="1:4" x14ac:dyDescent="0.25">
      <c r="A463" s="4" t="s">
        <v>472</v>
      </c>
      <c r="B463" s="4" t="s">
        <v>203</v>
      </c>
      <c r="C463" s="17" t="str">
        <f t="shared" si="7"/>
        <v>TR</v>
      </c>
      <c r="D463" s="12">
        <v>0</v>
      </c>
    </row>
    <row r="464" spans="1:4" x14ac:dyDescent="0.25">
      <c r="A464" s="20" t="s">
        <v>470</v>
      </c>
      <c r="B464" s="4" t="s">
        <v>125</v>
      </c>
      <c r="C464" s="17" t="str">
        <f t="shared" si="7"/>
        <v>EU</v>
      </c>
      <c r="D464" s="12">
        <v>0</v>
      </c>
    </row>
    <row r="465" spans="1:4" x14ac:dyDescent="0.25">
      <c r="A465" s="4" t="s">
        <v>471</v>
      </c>
      <c r="B465" s="4" t="s">
        <v>125</v>
      </c>
      <c r="C465" s="17" t="str">
        <f t="shared" si="7"/>
        <v>EU</v>
      </c>
      <c r="D465" s="12">
        <v>0</v>
      </c>
    </row>
    <row r="466" spans="1:4" x14ac:dyDescent="0.25">
      <c r="A466" s="4" t="s">
        <v>472</v>
      </c>
      <c r="B466" s="4" t="s">
        <v>125</v>
      </c>
      <c r="C466" s="17" t="str">
        <f t="shared" si="7"/>
        <v>EU</v>
      </c>
      <c r="D466" s="12">
        <v>0</v>
      </c>
    </row>
    <row r="467" spans="1:4" x14ac:dyDescent="0.25">
      <c r="A467" s="20" t="s">
        <v>470</v>
      </c>
      <c r="B467" s="4" t="s">
        <v>204</v>
      </c>
      <c r="C467" s="17" t="str">
        <f t="shared" si="7"/>
        <v>5002</v>
      </c>
      <c r="D467" s="12">
        <v>0</v>
      </c>
    </row>
    <row r="468" spans="1:4" x14ac:dyDescent="0.25">
      <c r="A468" s="4" t="s">
        <v>471</v>
      </c>
      <c r="B468" s="4" t="s">
        <v>204</v>
      </c>
      <c r="C468" s="17" t="str">
        <f t="shared" si="7"/>
        <v>5002</v>
      </c>
      <c r="D468" s="12">
        <v>0</v>
      </c>
    </row>
    <row r="469" spans="1:4" x14ac:dyDescent="0.25">
      <c r="A469" s="4" t="s">
        <v>472</v>
      </c>
      <c r="B469" s="4" t="s">
        <v>204</v>
      </c>
      <c r="C469" s="17" t="str">
        <f t="shared" si="7"/>
        <v>5002</v>
      </c>
      <c r="D469" s="12">
        <v>0</v>
      </c>
    </row>
    <row r="470" spans="1:4" x14ac:dyDescent="0.25">
      <c r="A470" s="20" t="s">
        <v>473</v>
      </c>
      <c r="B470" s="4" t="s">
        <v>126</v>
      </c>
      <c r="C470" s="17" t="str">
        <f t="shared" si="7"/>
        <v>EU</v>
      </c>
      <c r="D470" s="12">
        <v>0</v>
      </c>
    </row>
    <row r="471" spans="1:4" x14ac:dyDescent="0.25">
      <c r="A471" s="4" t="s">
        <v>474</v>
      </c>
      <c r="B471" s="4" t="s">
        <v>126</v>
      </c>
      <c r="C471" s="17" t="str">
        <f t="shared" si="7"/>
        <v>EU</v>
      </c>
      <c r="D471" s="12">
        <v>0</v>
      </c>
    </row>
    <row r="472" spans="1:4" x14ac:dyDescent="0.25">
      <c r="A472" s="4" t="s">
        <v>475</v>
      </c>
      <c r="B472" s="4" t="s">
        <v>126</v>
      </c>
      <c r="C472" s="17" t="str">
        <f t="shared" si="7"/>
        <v>EU</v>
      </c>
      <c r="D472" s="12">
        <v>0</v>
      </c>
    </row>
    <row r="473" spans="1:4" x14ac:dyDescent="0.25">
      <c r="A473" s="4" t="s">
        <v>476</v>
      </c>
      <c r="B473" s="4" t="s">
        <v>126</v>
      </c>
      <c r="C473" s="17" t="str">
        <f t="shared" si="7"/>
        <v>EU</v>
      </c>
      <c r="D473" s="12">
        <v>0</v>
      </c>
    </row>
    <row r="474" spans="1:4" x14ac:dyDescent="0.25">
      <c r="A474" s="4" t="s">
        <v>477</v>
      </c>
      <c r="B474" s="4" t="s">
        <v>126</v>
      </c>
      <c r="C474" s="17" t="str">
        <f t="shared" si="7"/>
        <v>EU</v>
      </c>
      <c r="D474" s="12">
        <v>0</v>
      </c>
    </row>
    <row r="475" spans="1:4" x14ac:dyDescent="0.25">
      <c r="A475" s="4" t="s">
        <v>478</v>
      </c>
      <c r="B475" s="4" t="s">
        <v>126</v>
      </c>
      <c r="C475" s="17" t="str">
        <f t="shared" si="7"/>
        <v>EU</v>
      </c>
      <c r="D475" s="12">
        <v>0</v>
      </c>
    </row>
    <row r="476" spans="1:4" x14ac:dyDescent="0.25">
      <c r="A476" s="4" t="s">
        <v>479</v>
      </c>
      <c r="B476" s="4" t="s">
        <v>126</v>
      </c>
      <c r="C476" s="17" t="str">
        <f t="shared" si="7"/>
        <v>EU</v>
      </c>
      <c r="D476" s="12">
        <v>0</v>
      </c>
    </row>
    <row r="477" spans="1:4" x14ac:dyDescent="0.25">
      <c r="A477" s="20" t="s">
        <v>473</v>
      </c>
      <c r="B477" s="4" t="s">
        <v>127</v>
      </c>
      <c r="C477" s="17" t="str">
        <f t="shared" si="7"/>
        <v>KR</v>
      </c>
      <c r="D477" s="12">
        <v>0</v>
      </c>
    </row>
    <row r="478" spans="1:4" x14ac:dyDescent="0.25">
      <c r="A478" s="4" t="s">
        <v>474</v>
      </c>
      <c r="B478" s="4" t="s">
        <v>127</v>
      </c>
      <c r="C478" s="17" t="str">
        <f t="shared" si="7"/>
        <v>KR</v>
      </c>
      <c r="D478" s="12">
        <v>0</v>
      </c>
    </row>
    <row r="479" spans="1:4" x14ac:dyDescent="0.25">
      <c r="A479" s="4" t="s">
        <v>475</v>
      </c>
      <c r="B479" s="4" t="s">
        <v>127</v>
      </c>
      <c r="C479" s="17" t="str">
        <f t="shared" si="7"/>
        <v>KR</v>
      </c>
      <c r="D479" s="12">
        <v>0</v>
      </c>
    </row>
    <row r="480" spans="1:4" x14ac:dyDescent="0.25">
      <c r="A480" s="4" t="s">
        <v>476</v>
      </c>
      <c r="B480" s="4" t="s">
        <v>127</v>
      </c>
      <c r="C480" s="17" t="str">
        <f t="shared" si="7"/>
        <v>KR</v>
      </c>
      <c r="D480" s="12">
        <v>0</v>
      </c>
    </row>
    <row r="481" spans="1:4" x14ac:dyDescent="0.25">
      <c r="A481" s="4" t="s">
        <v>477</v>
      </c>
      <c r="B481" s="4" t="s">
        <v>127</v>
      </c>
      <c r="C481" s="17" t="str">
        <f t="shared" si="7"/>
        <v>KR</v>
      </c>
      <c r="D481" s="12">
        <v>0</v>
      </c>
    </row>
    <row r="482" spans="1:4" x14ac:dyDescent="0.25">
      <c r="A482" s="4" t="s">
        <v>478</v>
      </c>
      <c r="B482" s="4" t="s">
        <v>127</v>
      </c>
      <c r="C482" s="17" t="str">
        <f t="shared" si="7"/>
        <v>KR</v>
      </c>
      <c r="D482" s="12">
        <v>0</v>
      </c>
    </row>
    <row r="483" spans="1:4" x14ac:dyDescent="0.25">
      <c r="A483" s="4" t="s">
        <v>479</v>
      </c>
      <c r="B483" s="4" t="s">
        <v>127</v>
      </c>
      <c r="C483" s="17" t="str">
        <f t="shared" si="7"/>
        <v>KR</v>
      </c>
      <c r="D483" s="12">
        <v>0</v>
      </c>
    </row>
    <row r="484" spans="1:4" x14ac:dyDescent="0.25">
      <c r="A484" s="20" t="s">
        <v>473</v>
      </c>
      <c r="B484" s="4" t="s">
        <v>128</v>
      </c>
      <c r="C484" s="17" t="str">
        <f t="shared" si="7"/>
        <v>JP</v>
      </c>
      <c r="D484" s="12">
        <v>0</v>
      </c>
    </row>
    <row r="485" spans="1:4" x14ac:dyDescent="0.25">
      <c r="A485" s="4" t="s">
        <v>474</v>
      </c>
      <c r="B485" s="4" t="s">
        <v>128</v>
      </c>
      <c r="C485" s="17" t="str">
        <f t="shared" si="7"/>
        <v>JP</v>
      </c>
      <c r="D485" s="12">
        <v>0</v>
      </c>
    </row>
    <row r="486" spans="1:4" x14ac:dyDescent="0.25">
      <c r="A486" s="4" t="s">
        <v>475</v>
      </c>
      <c r="B486" s="4" t="s">
        <v>128</v>
      </c>
      <c r="C486" s="17" t="str">
        <f t="shared" si="7"/>
        <v>JP</v>
      </c>
      <c r="D486" s="12">
        <v>0</v>
      </c>
    </row>
    <row r="487" spans="1:4" x14ac:dyDescent="0.25">
      <c r="A487" s="4" t="s">
        <v>476</v>
      </c>
      <c r="B487" s="4" t="s">
        <v>128</v>
      </c>
      <c r="C487" s="17" t="str">
        <f t="shared" si="7"/>
        <v>JP</v>
      </c>
      <c r="D487" s="12">
        <v>0</v>
      </c>
    </row>
    <row r="488" spans="1:4" x14ac:dyDescent="0.25">
      <c r="A488" s="4" t="s">
        <v>477</v>
      </c>
      <c r="B488" s="4" t="s">
        <v>128</v>
      </c>
      <c r="C488" s="17" t="str">
        <f t="shared" si="7"/>
        <v>JP</v>
      </c>
      <c r="D488" s="12">
        <v>0</v>
      </c>
    </row>
    <row r="489" spans="1:4" x14ac:dyDescent="0.25">
      <c r="A489" s="4" t="s">
        <v>478</v>
      </c>
      <c r="B489" s="4" t="s">
        <v>128</v>
      </c>
      <c r="C489" s="17" t="str">
        <f t="shared" si="7"/>
        <v>JP</v>
      </c>
      <c r="D489" s="12">
        <v>0</v>
      </c>
    </row>
    <row r="490" spans="1:4" x14ac:dyDescent="0.25">
      <c r="A490" s="4" t="s">
        <v>479</v>
      </c>
      <c r="B490" s="4" t="s">
        <v>128</v>
      </c>
      <c r="C490" s="17" t="str">
        <f t="shared" si="7"/>
        <v>JP</v>
      </c>
      <c r="D490" s="12">
        <v>0</v>
      </c>
    </row>
    <row r="491" spans="1:4" x14ac:dyDescent="0.25">
      <c r="A491" s="20" t="s">
        <v>473</v>
      </c>
      <c r="B491" s="4" t="s">
        <v>205</v>
      </c>
      <c r="C491" s="17" t="str">
        <f t="shared" si="7"/>
        <v>5002</v>
      </c>
      <c r="D491" s="12">
        <v>0</v>
      </c>
    </row>
    <row r="492" spans="1:4" x14ac:dyDescent="0.25">
      <c r="A492" s="4" t="s">
        <v>474</v>
      </c>
      <c r="B492" s="4" t="s">
        <v>205</v>
      </c>
      <c r="C492" s="17" t="str">
        <f t="shared" si="7"/>
        <v>5002</v>
      </c>
      <c r="D492" s="12">
        <v>0</v>
      </c>
    </row>
    <row r="493" spans="1:4" x14ac:dyDescent="0.25">
      <c r="A493" s="4" t="s">
        <v>475</v>
      </c>
      <c r="B493" s="4" t="s">
        <v>205</v>
      </c>
      <c r="C493" s="17" t="str">
        <f t="shared" si="7"/>
        <v>5002</v>
      </c>
      <c r="D493" s="12">
        <v>0</v>
      </c>
    </row>
    <row r="494" spans="1:4" x14ac:dyDescent="0.25">
      <c r="A494" s="4" t="s">
        <v>476</v>
      </c>
      <c r="B494" s="4" t="s">
        <v>205</v>
      </c>
      <c r="C494" s="17" t="str">
        <f t="shared" si="7"/>
        <v>5002</v>
      </c>
      <c r="D494" s="12">
        <v>0</v>
      </c>
    </row>
    <row r="495" spans="1:4" x14ac:dyDescent="0.25">
      <c r="A495" s="4" t="s">
        <v>477</v>
      </c>
      <c r="B495" s="4" t="s">
        <v>205</v>
      </c>
      <c r="C495" s="17" t="str">
        <f t="shared" si="7"/>
        <v>5002</v>
      </c>
      <c r="D495" s="12">
        <v>0</v>
      </c>
    </row>
    <row r="496" spans="1:4" x14ac:dyDescent="0.25">
      <c r="A496" s="4" t="s">
        <v>478</v>
      </c>
      <c r="B496" s="4" t="s">
        <v>205</v>
      </c>
      <c r="C496" s="17" t="str">
        <f t="shared" si="7"/>
        <v>5002</v>
      </c>
      <c r="D496" s="12">
        <v>0</v>
      </c>
    </row>
    <row r="497" spans="1:4" x14ac:dyDescent="0.25">
      <c r="A497" s="4" t="s">
        <v>479</v>
      </c>
      <c r="B497" s="4" t="s">
        <v>205</v>
      </c>
      <c r="C497" s="17" t="str">
        <f t="shared" si="7"/>
        <v>5002</v>
      </c>
      <c r="D497" s="12">
        <v>0</v>
      </c>
    </row>
    <row r="498" spans="1:4" x14ac:dyDescent="0.25">
      <c r="A498" s="20" t="s">
        <v>480</v>
      </c>
      <c r="B498" s="4" t="s">
        <v>129</v>
      </c>
      <c r="C498" s="17" t="str">
        <f t="shared" si="7"/>
        <v>EU</v>
      </c>
      <c r="D498" s="12">
        <v>0</v>
      </c>
    </row>
    <row r="499" spans="1:4" x14ac:dyDescent="0.25">
      <c r="A499" s="4" t="s">
        <v>481</v>
      </c>
      <c r="B499" s="4" t="s">
        <v>129</v>
      </c>
      <c r="C499" s="17" t="str">
        <f t="shared" si="7"/>
        <v>EU</v>
      </c>
      <c r="D499" s="12">
        <v>0</v>
      </c>
    </row>
    <row r="500" spans="1:4" x14ac:dyDescent="0.25">
      <c r="A500" s="4" t="s">
        <v>482</v>
      </c>
      <c r="B500" s="4" t="s">
        <v>129</v>
      </c>
      <c r="C500" s="17" t="str">
        <f t="shared" si="7"/>
        <v>EU</v>
      </c>
      <c r="D500" s="12">
        <v>0</v>
      </c>
    </row>
    <row r="501" spans="1:4" x14ac:dyDescent="0.25">
      <c r="A501" s="4" t="s">
        <v>483</v>
      </c>
      <c r="B501" s="4" t="s">
        <v>129</v>
      </c>
      <c r="C501" s="17" t="str">
        <f t="shared" si="7"/>
        <v>EU</v>
      </c>
      <c r="D501" s="12">
        <v>0</v>
      </c>
    </row>
    <row r="502" spans="1:4" x14ac:dyDescent="0.25">
      <c r="A502" s="4" t="s">
        <v>484</v>
      </c>
      <c r="B502" s="4" t="s">
        <v>129</v>
      </c>
      <c r="C502" s="17" t="str">
        <f t="shared" si="7"/>
        <v>EU</v>
      </c>
      <c r="D502" s="12">
        <v>0</v>
      </c>
    </row>
    <row r="503" spans="1:4" x14ac:dyDescent="0.25">
      <c r="A503" s="4" t="s">
        <v>485</v>
      </c>
      <c r="B503" s="4" t="s">
        <v>129</v>
      </c>
      <c r="C503" s="17" t="str">
        <f t="shared" si="7"/>
        <v>EU</v>
      </c>
      <c r="D503" s="12">
        <v>0</v>
      </c>
    </row>
    <row r="504" spans="1:4" x14ac:dyDescent="0.25">
      <c r="A504" s="4" t="s">
        <v>486</v>
      </c>
      <c r="B504" s="4" t="s">
        <v>129</v>
      </c>
      <c r="C504" s="17" t="str">
        <f t="shared" si="7"/>
        <v>EU</v>
      </c>
      <c r="D504" s="12">
        <v>0</v>
      </c>
    </row>
    <row r="505" spans="1:4" x14ac:dyDescent="0.25">
      <c r="A505" s="4" t="s">
        <v>487</v>
      </c>
      <c r="B505" s="4" t="s">
        <v>129</v>
      </c>
      <c r="C505" s="17" t="str">
        <f t="shared" si="7"/>
        <v>EU</v>
      </c>
      <c r="D505" s="12">
        <v>0</v>
      </c>
    </row>
    <row r="506" spans="1:4" x14ac:dyDescent="0.25">
      <c r="A506" s="4" t="s">
        <v>488</v>
      </c>
      <c r="B506" s="4" t="s">
        <v>129</v>
      </c>
      <c r="C506" s="17" t="str">
        <f t="shared" si="7"/>
        <v>EU</v>
      </c>
      <c r="D506" s="12">
        <v>0</v>
      </c>
    </row>
    <row r="507" spans="1:4" x14ac:dyDescent="0.25">
      <c r="A507" s="4" t="s">
        <v>489</v>
      </c>
      <c r="B507" s="4" t="s">
        <v>129</v>
      </c>
      <c r="C507" s="17" t="str">
        <f t="shared" si="7"/>
        <v>EU</v>
      </c>
      <c r="D507" s="12">
        <v>0</v>
      </c>
    </row>
    <row r="508" spans="1:4" x14ac:dyDescent="0.25">
      <c r="A508" s="4" t="s">
        <v>490</v>
      </c>
      <c r="B508" s="4" t="s">
        <v>129</v>
      </c>
      <c r="C508" s="17" t="str">
        <f t="shared" si="7"/>
        <v>EU</v>
      </c>
      <c r="D508" s="12">
        <v>0</v>
      </c>
    </row>
    <row r="509" spans="1:4" x14ac:dyDescent="0.25">
      <c r="A509" s="4" t="s">
        <v>491</v>
      </c>
      <c r="B509" s="4" t="s">
        <v>129</v>
      </c>
      <c r="C509" s="17" t="str">
        <f t="shared" si="7"/>
        <v>EU</v>
      </c>
      <c r="D509" s="12">
        <v>0</v>
      </c>
    </row>
    <row r="510" spans="1:4" x14ac:dyDescent="0.25">
      <c r="A510" s="4" t="s">
        <v>492</v>
      </c>
      <c r="B510" s="4" t="s">
        <v>129</v>
      </c>
      <c r="C510" s="17" t="str">
        <f t="shared" si="7"/>
        <v>EU</v>
      </c>
      <c r="D510" s="12">
        <v>0</v>
      </c>
    </row>
    <row r="511" spans="1:4" x14ac:dyDescent="0.25">
      <c r="A511" s="4" t="s">
        <v>493</v>
      </c>
      <c r="B511" s="4" t="s">
        <v>129</v>
      </c>
      <c r="C511" s="17" t="str">
        <f t="shared" si="7"/>
        <v>EU</v>
      </c>
      <c r="D511" s="12">
        <v>0</v>
      </c>
    </row>
    <row r="512" spans="1:4" x14ac:dyDescent="0.25">
      <c r="A512" s="4" t="s">
        <v>494</v>
      </c>
      <c r="B512" s="4" t="s">
        <v>129</v>
      </c>
      <c r="C512" s="17" t="str">
        <f t="shared" si="7"/>
        <v>EU</v>
      </c>
      <c r="D512" s="12">
        <v>0</v>
      </c>
    </row>
    <row r="513" spans="1:4" x14ac:dyDescent="0.25">
      <c r="A513" s="4" t="s">
        <v>495</v>
      </c>
      <c r="B513" s="4" t="s">
        <v>129</v>
      </c>
      <c r="C513" s="17" t="str">
        <f t="shared" si="7"/>
        <v>EU</v>
      </c>
      <c r="D513" s="12">
        <v>0</v>
      </c>
    </row>
    <row r="514" spans="1:4" x14ac:dyDescent="0.25">
      <c r="A514" s="20" t="s">
        <v>480</v>
      </c>
      <c r="B514" s="4" t="s">
        <v>207</v>
      </c>
      <c r="C514" s="17" t="str">
        <f t="shared" ref="C514:C577" si="8">VLOOKUP(B514, quota_order_numbers2, 6, FALSE)</f>
        <v>AE</v>
      </c>
      <c r="D514" s="12">
        <v>0</v>
      </c>
    </row>
    <row r="515" spans="1:4" x14ac:dyDescent="0.25">
      <c r="A515" s="4" t="s">
        <v>481</v>
      </c>
      <c r="B515" s="4" t="s">
        <v>207</v>
      </c>
      <c r="C515" s="17" t="str">
        <f t="shared" si="8"/>
        <v>AE</v>
      </c>
      <c r="D515" s="12">
        <v>0</v>
      </c>
    </row>
    <row r="516" spans="1:4" x14ac:dyDescent="0.25">
      <c r="A516" s="4" t="s">
        <v>482</v>
      </c>
      <c r="B516" s="4" t="s">
        <v>207</v>
      </c>
      <c r="C516" s="17" t="str">
        <f t="shared" si="8"/>
        <v>AE</v>
      </c>
      <c r="D516" s="12">
        <v>0</v>
      </c>
    </row>
    <row r="517" spans="1:4" x14ac:dyDescent="0.25">
      <c r="A517" s="4" t="s">
        <v>483</v>
      </c>
      <c r="B517" s="4" t="s">
        <v>207</v>
      </c>
      <c r="C517" s="17" t="str">
        <f t="shared" si="8"/>
        <v>AE</v>
      </c>
      <c r="D517" s="12">
        <v>0</v>
      </c>
    </row>
    <row r="518" spans="1:4" x14ac:dyDescent="0.25">
      <c r="A518" s="4" t="s">
        <v>484</v>
      </c>
      <c r="B518" s="4" t="s">
        <v>207</v>
      </c>
      <c r="C518" s="17" t="str">
        <f t="shared" si="8"/>
        <v>AE</v>
      </c>
      <c r="D518" s="12">
        <v>0</v>
      </c>
    </row>
    <row r="519" spans="1:4" x14ac:dyDescent="0.25">
      <c r="A519" s="4" t="s">
        <v>485</v>
      </c>
      <c r="B519" s="4" t="s">
        <v>207</v>
      </c>
      <c r="C519" s="17" t="str">
        <f t="shared" si="8"/>
        <v>AE</v>
      </c>
      <c r="D519" s="12">
        <v>0</v>
      </c>
    </row>
    <row r="520" spans="1:4" x14ac:dyDescent="0.25">
      <c r="A520" s="4" t="s">
        <v>486</v>
      </c>
      <c r="B520" s="4" t="s">
        <v>207</v>
      </c>
      <c r="C520" s="17" t="str">
        <f t="shared" si="8"/>
        <v>AE</v>
      </c>
      <c r="D520" s="12">
        <v>0</v>
      </c>
    </row>
    <row r="521" spans="1:4" x14ac:dyDescent="0.25">
      <c r="A521" s="4" t="s">
        <v>487</v>
      </c>
      <c r="B521" s="4" t="s">
        <v>207</v>
      </c>
      <c r="C521" s="17" t="str">
        <f t="shared" si="8"/>
        <v>AE</v>
      </c>
      <c r="D521" s="12">
        <v>0</v>
      </c>
    </row>
    <row r="522" spans="1:4" x14ac:dyDescent="0.25">
      <c r="A522" s="4" t="s">
        <v>488</v>
      </c>
      <c r="B522" s="4" t="s">
        <v>207</v>
      </c>
      <c r="C522" s="17" t="str">
        <f t="shared" si="8"/>
        <v>AE</v>
      </c>
      <c r="D522" s="12">
        <v>0</v>
      </c>
    </row>
    <row r="523" spans="1:4" x14ac:dyDescent="0.25">
      <c r="A523" s="4" t="s">
        <v>489</v>
      </c>
      <c r="B523" s="4" t="s">
        <v>207</v>
      </c>
      <c r="C523" s="17" t="str">
        <f t="shared" si="8"/>
        <v>AE</v>
      </c>
      <c r="D523" s="12">
        <v>0</v>
      </c>
    </row>
    <row r="524" spans="1:4" x14ac:dyDescent="0.25">
      <c r="A524" s="4" t="s">
        <v>490</v>
      </c>
      <c r="B524" s="4" t="s">
        <v>207</v>
      </c>
      <c r="C524" s="17" t="str">
        <f t="shared" si="8"/>
        <v>AE</v>
      </c>
      <c r="D524" s="12">
        <v>0</v>
      </c>
    </row>
    <row r="525" spans="1:4" x14ac:dyDescent="0.25">
      <c r="A525" s="4" t="s">
        <v>491</v>
      </c>
      <c r="B525" s="4" t="s">
        <v>207</v>
      </c>
      <c r="C525" s="17" t="str">
        <f t="shared" si="8"/>
        <v>AE</v>
      </c>
      <c r="D525" s="12">
        <v>0</v>
      </c>
    </row>
    <row r="526" spans="1:4" x14ac:dyDescent="0.25">
      <c r="A526" s="4" t="s">
        <v>492</v>
      </c>
      <c r="B526" s="4" t="s">
        <v>207</v>
      </c>
      <c r="C526" s="17" t="str">
        <f t="shared" si="8"/>
        <v>AE</v>
      </c>
      <c r="D526" s="12">
        <v>0</v>
      </c>
    </row>
    <row r="527" spans="1:4" x14ac:dyDescent="0.25">
      <c r="A527" s="4" t="s">
        <v>493</v>
      </c>
      <c r="B527" s="4" t="s">
        <v>207</v>
      </c>
      <c r="C527" s="17" t="str">
        <f t="shared" si="8"/>
        <v>AE</v>
      </c>
      <c r="D527" s="12">
        <v>0</v>
      </c>
    </row>
    <row r="528" spans="1:4" x14ac:dyDescent="0.25">
      <c r="A528" s="4" t="s">
        <v>494</v>
      </c>
      <c r="B528" s="4" t="s">
        <v>207</v>
      </c>
      <c r="C528" s="17" t="str">
        <f t="shared" si="8"/>
        <v>AE</v>
      </c>
      <c r="D528" s="12">
        <v>0</v>
      </c>
    </row>
    <row r="529" spans="1:4" x14ac:dyDescent="0.25">
      <c r="A529" s="4" t="s">
        <v>495</v>
      </c>
      <c r="B529" s="4" t="s">
        <v>207</v>
      </c>
      <c r="C529" s="17" t="str">
        <f t="shared" si="8"/>
        <v>AE</v>
      </c>
      <c r="D529" s="12">
        <v>0</v>
      </c>
    </row>
    <row r="530" spans="1:4" x14ac:dyDescent="0.25">
      <c r="A530" s="20" t="s">
        <v>480</v>
      </c>
      <c r="B530" s="4" t="s">
        <v>208</v>
      </c>
      <c r="C530" s="17" t="str">
        <f t="shared" si="8"/>
        <v>TR</v>
      </c>
      <c r="D530" s="12">
        <v>0</v>
      </c>
    </row>
    <row r="531" spans="1:4" x14ac:dyDescent="0.25">
      <c r="A531" s="4" t="s">
        <v>481</v>
      </c>
      <c r="B531" s="4" t="s">
        <v>208</v>
      </c>
      <c r="C531" s="17" t="str">
        <f t="shared" si="8"/>
        <v>TR</v>
      </c>
      <c r="D531" s="12">
        <v>0</v>
      </c>
    </row>
    <row r="532" spans="1:4" x14ac:dyDescent="0.25">
      <c r="A532" s="4" t="s">
        <v>482</v>
      </c>
      <c r="B532" s="4" t="s">
        <v>208</v>
      </c>
      <c r="C532" s="17" t="str">
        <f t="shared" si="8"/>
        <v>TR</v>
      </c>
      <c r="D532" s="12">
        <v>0</v>
      </c>
    </row>
    <row r="533" spans="1:4" x14ac:dyDescent="0.25">
      <c r="A533" s="4" t="s">
        <v>483</v>
      </c>
      <c r="B533" s="4" t="s">
        <v>208</v>
      </c>
      <c r="C533" s="17" t="str">
        <f t="shared" si="8"/>
        <v>TR</v>
      </c>
      <c r="D533" s="12">
        <v>0</v>
      </c>
    </row>
    <row r="534" spans="1:4" x14ac:dyDescent="0.25">
      <c r="A534" s="4" t="s">
        <v>484</v>
      </c>
      <c r="B534" s="4" t="s">
        <v>208</v>
      </c>
      <c r="C534" s="17" t="str">
        <f t="shared" si="8"/>
        <v>TR</v>
      </c>
      <c r="D534" s="12">
        <v>0</v>
      </c>
    </row>
    <row r="535" spans="1:4" x14ac:dyDescent="0.25">
      <c r="A535" s="4" t="s">
        <v>485</v>
      </c>
      <c r="B535" s="4" t="s">
        <v>208</v>
      </c>
      <c r="C535" s="17" t="str">
        <f t="shared" si="8"/>
        <v>TR</v>
      </c>
      <c r="D535" s="12">
        <v>0</v>
      </c>
    </row>
    <row r="536" spans="1:4" x14ac:dyDescent="0.25">
      <c r="A536" s="4" t="s">
        <v>486</v>
      </c>
      <c r="B536" s="4" t="s">
        <v>208</v>
      </c>
      <c r="C536" s="17" t="str">
        <f t="shared" si="8"/>
        <v>TR</v>
      </c>
      <c r="D536" s="12">
        <v>0</v>
      </c>
    </row>
    <row r="537" spans="1:4" x14ac:dyDescent="0.25">
      <c r="A537" s="4" t="s">
        <v>487</v>
      </c>
      <c r="B537" s="4" t="s">
        <v>208</v>
      </c>
      <c r="C537" s="17" t="str">
        <f t="shared" si="8"/>
        <v>TR</v>
      </c>
      <c r="D537" s="12">
        <v>0</v>
      </c>
    </row>
    <row r="538" spans="1:4" x14ac:dyDescent="0.25">
      <c r="A538" s="4" t="s">
        <v>488</v>
      </c>
      <c r="B538" s="4" t="s">
        <v>208</v>
      </c>
      <c r="C538" s="17" t="str">
        <f t="shared" si="8"/>
        <v>TR</v>
      </c>
      <c r="D538" s="12">
        <v>0</v>
      </c>
    </row>
    <row r="539" spans="1:4" x14ac:dyDescent="0.25">
      <c r="A539" s="4" t="s">
        <v>489</v>
      </c>
      <c r="B539" s="4" t="s">
        <v>208</v>
      </c>
      <c r="C539" s="17" t="str">
        <f t="shared" si="8"/>
        <v>TR</v>
      </c>
      <c r="D539" s="12">
        <v>0</v>
      </c>
    </row>
    <row r="540" spans="1:4" x14ac:dyDescent="0.25">
      <c r="A540" s="4" t="s">
        <v>490</v>
      </c>
      <c r="B540" s="4" t="s">
        <v>208</v>
      </c>
      <c r="C540" s="17" t="str">
        <f t="shared" si="8"/>
        <v>TR</v>
      </c>
      <c r="D540" s="12">
        <v>0</v>
      </c>
    </row>
    <row r="541" spans="1:4" x14ac:dyDescent="0.25">
      <c r="A541" s="4" t="s">
        <v>491</v>
      </c>
      <c r="B541" s="4" t="s">
        <v>208</v>
      </c>
      <c r="C541" s="17" t="str">
        <f t="shared" si="8"/>
        <v>TR</v>
      </c>
      <c r="D541" s="12">
        <v>0</v>
      </c>
    </row>
    <row r="542" spans="1:4" x14ac:dyDescent="0.25">
      <c r="A542" s="4" t="s">
        <v>492</v>
      </c>
      <c r="B542" s="4" t="s">
        <v>208</v>
      </c>
      <c r="C542" s="17" t="str">
        <f t="shared" si="8"/>
        <v>TR</v>
      </c>
      <c r="D542" s="12">
        <v>0</v>
      </c>
    </row>
    <row r="543" spans="1:4" x14ac:dyDescent="0.25">
      <c r="A543" s="4" t="s">
        <v>493</v>
      </c>
      <c r="B543" s="4" t="s">
        <v>208</v>
      </c>
      <c r="C543" s="17" t="str">
        <f t="shared" si="8"/>
        <v>TR</v>
      </c>
      <c r="D543" s="12">
        <v>0</v>
      </c>
    </row>
    <row r="544" spans="1:4" x14ac:dyDescent="0.25">
      <c r="A544" s="4" t="s">
        <v>494</v>
      </c>
      <c r="B544" s="4" t="s">
        <v>208</v>
      </c>
      <c r="C544" s="17" t="str">
        <f t="shared" si="8"/>
        <v>TR</v>
      </c>
      <c r="D544" s="12">
        <v>0</v>
      </c>
    </row>
    <row r="545" spans="1:4" x14ac:dyDescent="0.25">
      <c r="A545" s="4" t="s">
        <v>495</v>
      </c>
      <c r="B545" s="4" t="s">
        <v>208</v>
      </c>
      <c r="C545" s="17" t="str">
        <f t="shared" si="8"/>
        <v>TR</v>
      </c>
      <c r="D545" s="12">
        <v>0</v>
      </c>
    </row>
    <row r="546" spans="1:4" x14ac:dyDescent="0.25">
      <c r="A546" s="20" t="s">
        <v>480</v>
      </c>
      <c r="B546" s="4" t="s">
        <v>130</v>
      </c>
      <c r="C546" s="17" t="str">
        <f t="shared" si="8"/>
        <v>NO</v>
      </c>
      <c r="D546" s="12">
        <v>0</v>
      </c>
    </row>
    <row r="547" spans="1:4" x14ac:dyDescent="0.25">
      <c r="A547" s="4" t="s">
        <v>481</v>
      </c>
      <c r="B547" s="4" t="s">
        <v>130</v>
      </c>
      <c r="C547" s="17" t="str">
        <f t="shared" si="8"/>
        <v>NO</v>
      </c>
      <c r="D547" s="12">
        <v>0</v>
      </c>
    </row>
    <row r="548" spans="1:4" x14ac:dyDescent="0.25">
      <c r="A548" s="4" t="s">
        <v>482</v>
      </c>
      <c r="B548" s="4" t="s">
        <v>130</v>
      </c>
      <c r="C548" s="17" t="str">
        <f t="shared" si="8"/>
        <v>NO</v>
      </c>
      <c r="D548" s="12">
        <v>0</v>
      </c>
    </row>
    <row r="549" spans="1:4" x14ac:dyDescent="0.25">
      <c r="A549" s="4" t="s">
        <v>483</v>
      </c>
      <c r="B549" s="4" t="s">
        <v>130</v>
      </c>
      <c r="C549" s="17" t="str">
        <f t="shared" si="8"/>
        <v>NO</v>
      </c>
      <c r="D549" s="12">
        <v>0</v>
      </c>
    </row>
    <row r="550" spans="1:4" x14ac:dyDescent="0.25">
      <c r="A550" s="4" t="s">
        <v>484</v>
      </c>
      <c r="B550" s="4" t="s">
        <v>130</v>
      </c>
      <c r="C550" s="17" t="str">
        <f t="shared" si="8"/>
        <v>NO</v>
      </c>
      <c r="D550" s="12">
        <v>0</v>
      </c>
    </row>
    <row r="551" spans="1:4" x14ac:dyDescent="0.25">
      <c r="A551" s="4" t="s">
        <v>485</v>
      </c>
      <c r="B551" s="4" t="s">
        <v>130</v>
      </c>
      <c r="C551" s="17" t="str">
        <f t="shared" si="8"/>
        <v>NO</v>
      </c>
      <c r="D551" s="12">
        <v>0</v>
      </c>
    </row>
    <row r="552" spans="1:4" x14ac:dyDescent="0.25">
      <c r="A552" s="4" t="s">
        <v>486</v>
      </c>
      <c r="B552" s="4" t="s">
        <v>130</v>
      </c>
      <c r="C552" s="17" t="str">
        <f t="shared" si="8"/>
        <v>NO</v>
      </c>
      <c r="D552" s="12">
        <v>0</v>
      </c>
    </row>
    <row r="553" spans="1:4" x14ac:dyDescent="0.25">
      <c r="A553" s="4" t="s">
        <v>487</v>
      </c>
      <c r="B553" s="4" t="s">
        <v>130</v>
      </c>
      <c r="C553" s="17" t="str">
        <f t="shared" si="8"/>
        <v>NO</v>
      </c>
      <c r="D553" s="12">
        <v>0</v>
      </c>
    </row>
    <row r="554" spans="1:4" x14ac:dyDescent="0.25">
      <c r="A554" s="4" t="s">
        <v>488</v>
      </c>
      <c r="B554" s="4" t="s">
        <v>130</v>
      </c>
      <c r="C554" s="17" t="str">
        <f t="shared" si="8"/>
        <v>NO</v>
      </c>
      <c r="D554" s="12">
        <v>0</v>
      </c>
    </row>
    <row r="555" spans="1:4" x14ac:dyDescent="0.25">
      <c r="A555" s="4" t="s">
        <v>489</v>
      </c>
      <c r="B555" s="4" t="s">
        <v>130</v>
      </c>
      <c r="C555" s="17" t="str">
        <f t="shared" si="8"/>
        <v>NO</v>
      </c>
      <c r="D555" s="12">
        <v>0</v>
      </c>
    </row>
    <row r="556" spans="1:4" x14ac:dyDescent="0.25">
      <c r="A556" s="4" t="s">
        <v>490</v>
      </c>
      <c r="B556" s="4" t="s">
        <v>130</v>
      </c>
      <c r="C556" s="17" t="str">
        <f t="shared" si="8"/>
        <v>NO</v>
      </c>
      <c r="D556" s="12">
        <v>0</v>
      </c>
    </row>
    <row r="557" spans="1:4" x14ac:dyDescent="0.25">
      <c r="A557" s="4" t="s">
        <v>491</v>
      </c>
      <c r="B557" s="4" t="s">
        <v>130</v>
      </c>
      <c r="C557" s="17" t="str">
        <f t="shared" si="8"/>
        <v>NO</v>
      </c>
      <c r="D557" s="12">
        <v>0</v>
      </c>
    </row>
    <row r="558" spans="1:4" x14ac:dyDescent="0.25">
      <c r="A558" s="4" t="s">
        <v>492</v>
      </c>
      <c r="B558" s="4" t="s">
        <v>130</v>
      </c>
      <c r="C558" s="17" t="str">
        <f t="shared" si="8"/>
        <v>NO</v>
      </c>
      <c r="D558" s="12">
        <v>0</v>
      </c>
    </row>
    <row r="559" spans="1:4" x14ac:dyDescent="0.25">
      <c r="A559" s="4" t="s">
        <v>493</v>
      </c>
      <c r="B559" s="4" t="s">
        <v>130</v>
      </c>
      <c r="C559" s="17" t="str">
        <f t="shared" si="8"/>
        <v>NO</v>
      </c>
      <c r="D559" s="12">
        <v>0</v>
      </c>
    </row>
    <row r="560" spans="1:4" x14ac:dyDescent="0.25">
      <c r="A560" s="4" t="s">
        <v>494</v>
      </c>
      <c r="B560" s="4" t="s">
        <v>130</v>
      </c>
      <c r="C560" s="17" t="str">
        <f t="shared" si="8"/>
        <v>NO</v>
      </c>
      <c r="D560" s="12">
        <v>0</v>
      </c>
    </row>
    <row r="561" spans="1:4" x14ac:dyDescent="0.25">
      <c r="A561" s="4" t="s">
        <v>495</v>
      </c>
      <c r="B561" s="4" t="s">
        <v>130</v>
      </c>
      <c r="C561" s="17" t="str">
        <f t="shared" si="8"/>
        <v>NO</v>
      </c>
      <c r="D561" s="12">
        <v>0</v>
      </c>
    </row>
    <row r="562" spans="1:4" x14ac:dyDescent="0.25">
      <c r="A562" s="20" t="s">
        <v>480</v>
      </c>
      <c r="B562" s="4" t="s">
        <v>209</v>
      </c>
      <c r="C562" s="17" t="str">
        <f t="shared" si="8"/>
        <v>CN</v>
      </c>
      <c r="D562" s="12">
        <v>0</v>
      </c>
    </row>
    <row r="563" spans="1:4" x14ac:dyDescent="0.25">
      <c r="A563" s="4" t="s">
        <v>481</v>
      </c>
      <c r="B563" s="4" t="s">
        <v>209</v>
      </c>
      <c r="C563" s="17" t="str">
        <f t="shared" si="8"/>
        <v>CN</v>
      </c>
      <c r="D563" s="12">
        <v>0</v>
      </c>
    </row>
    <row r="564" spans="1:4" x14ac:dyDescent="0.25">
      <c r="A564" s="4" t="s">
        <v>482</v>
      </c>
      <c r="B564" s="4" t="s">
        <v>209</v>
      </c>
      <c r="C564" s="17" t="str">
        <f t="shared" si="8"/>
        <v>CN</v>
      </c>
      <c r="D564" s="12">
        <v>0</v>
      </c>
    </row>
    <row r="565" spans="1:4" x14ac:dyDescent="0.25">
      <c r="A565" s="4" t="s">
        <v>483</v>
      </c>
      <c r="B565" s="4" t="s">
        <v>209</v>
      </c>
      <c r="C565" s="17" t="str">
        <f t="shared" si="8"/>
        <v>CN</v>
      </c>
      <c r="D565" s="12">
        <v>0</v>
      </c>
    </row>
    <row r="566" spans="1:4" x14ac:dyDescent="0.25">
      <c r="A566" s="4" t="s">
        <v>484</v>
      </c>
      <c r="B566" s="4" t="s">
        <v>209</v>
      </c>
      <c r="C566" s="17" t="str">
        <f t="shared" si="8"/>
        <v>CN</v>
      </c>
      <c r="D566" s="12">
        <v>0</v>
      </c>
    </row>
    <row r="567" spans="1:4" x14ac:dyDescent="0.25">
      <c r="A567" s="4" t="s">
        <v>485</v>
      </c>
      <c r="B567" s="4" t="s">
        <v>209</v>
      </c>
      <c r="C567" s="17" t="str">
        <f t="shared" si="8"/>
        <v>CN</v>
      </c>
      <c r="D567" s="12">
        <v>0</v>
      </c>
    </row>
    <row r="568" spans="1:4" x14ac:dyDescent="0.25">
      <c r="A568" s="4" t="s">
        <v>486</v>
      </c>
      <c r="B568" s="4" t="s">
        <v>209</v>
      </c>
      <c r="C568" s="17" t="str">
        <f t="shared" si="8"/>
        <v>CN</v>
      </c>
      <c r="D568" s="12">
        <v>0</v>
      </c>
    </row>
    <row r="569" spans="1:4" x14ac:dyDescent="0.25">
      <c r="A569" s="4" t="s">
        <v>487</v>
      </c>
      <c r="B569" s="4" t="s">
        <v>209</v>
      </c>
      <c r="C569" s="17" t="str">
        <f t="shared" si="8"/>
        <v>CN</v>
      </c>
      <c r="D569" s="12">
        <v>0</v>
      </c>
    </row>
    <row r="570" spans="1:4" x14ac:dyDescent="0.25">
      <c r="A570" s="4" t="s">
        <v>488</v>
      </c>
      <c r="B570" s="4" t="s">
        <v>209</v>
      </c>
      <c r="C570" s="17" t="str">
        <f t="shared" si="8"/>
        <v>CN</v>
      </c>
      <c r="D570" s="12">
        <v>0</v>
      </c>
    </row>
    <row r="571" spans="1:4" x14ac:dyDescent="0.25">
      <c r="A571" s="4" t="s">
        <v>489</v>
      </c>
      <c r="B571" s="4" t="s">
        <v>209</v>
      </c>
      <c r="C571" s="17" t="str">
        <f t="shared" si="8"/>
        <v>CN</v>
      </c>
      <c r="D571" s="12">
        <v>0</v>
      </c>
    </row>
    <row r="572" spans="1:4" x14ac:dyDescent="0.25">
      <c r="A572" s="4" t="s">
        <v>490</v>
      </c>
      <c r="B572" s="4" t="s">
        <v>209</v>
      </c>
      <c r="C572" s="17" t="str">
        <f t="shared" si="8"/>
        <v>CN</v>
      </c>
      <c r="D572" s="12">
        <v>0</v>
      </c>
    </row>
    <row r="573" spans="1:4" x14ac:dyDescent="0.25">
      <c r="A573" s="4" t="s">
        <v>491</v>
      </c>
      <c r="B573" s="4" t="s">
        <v>209</v>
      </c>
      <c r="C573" s="17" t="str">
        <f t="shared" si="8"/>
        <v>CN</v>
      </c>
      <c r="D573" s="12">
        <v>0</v>
      </c>
    </row>
    <row r="574" spans="1:4" x14ac:dyDescent="0.25">
      <c r="A574" s="4" t="s">
        <v>492</v>
      </c>
      <c r="B574" s="4" t="s">
        <v>209</v>
      </c>
      <c r="C574" s="17" t="str">
        <f t="shared" si="8"/>
        <v>CN</v>
      </c>
      <c r="D574" s="12">
        <v>0</v>
      </c>
    </row>
    <row r="575" spans="1:4" x14ac:dyDescent="0.25">
      <c r="A575" s="4" t="s">
        <v>493</v>
      </c>
      <c r="B575" s="4" t="s">
        <v>209</v>
      </c>
      <c r="C575" s="17" t="str">
        <f t="shared" si="8"/>
        <v>CN</v>
      </c>
      <c r="D575" s="12">
        <v>0</v>
      </c>
    </row>
    <row r="576" spans="1:4" x14ac:dyDescent="0.25">
      <c r="A576" s="4" t="s">
        <v>494</v>
      </c>
      <c r="B576" s="4" t="s">
        <v>209</v>
      </c>
      <c r="C576" s="17" t="str">
        <f t="shared" si="8"/>
        <v>CN</v>
      </c>
      <c r="D576" s="12">
        <v>0</v>
      </c>
    </row>
    <row r="577" spans="1:4" x14ac:dyDescent="0.25">
      <c r="A577" s="4" t="s">
        <v>495</v>
      </c>
      <c r="B577" s="4" t="s">
        <v>209</v>
      </c>
      <c r="C577" s="17" t="str">
        <f t="shared" si="8"/>
        <v>CN</v>
      </c>
      <c r="D577" s="12">
        <v>0</v>
      </c>
    </row>
    <row r="578" spans="1:4" x14ac:dyDescent="0.25">
      <c r="A578" s="20" t="s">
        <v>480</v>
      </c>
      <c r="B578" s="4" t="s">
        <v>210</v>
      </c>
      <c r="C578" s="17" t="str">
        <f t="shared" ref="C578:C641" si="9">VLOOKUP(B578, quota_order_numbers2, 6, FALSE)</f>
        <v>5002</v>
      </c>
      <c r="D578" s="12">
        <v>0</v>
      </c>
    </row>
    <row r="579" spans="1:4" x14ac:dyDescent="0.25">
      <c r="A579" s="4" t="s">
        <v>481</v>
      </c>
      <c r="B579" s="4" t="s">
        <v>210</v>
      </c>
      <c r="C579" s="17" t="str">
        <f t="shared" si="9"/>
        <v>5002</v>
      </c>
      <c r="D579" s="12">
        <v>0</v>
      </c>
    </row>
    <row r="580" spans="1:4" x14ac:dyDescent="0.25">
      <c r="A580" s="4" t="s">
        <v>482</v>
      </c>
      <c r="B580" s="4" t="s">
        <v>210</v>
      </c>
      <c r="C580" s="17" t="str">
        <f t="shared" si="9"/>
        <v>5002</v>
      </c>
      <c r="D580" s="12">
        <v>0</v>
      </c>
    </row>
    <row r="581" spans="1:4" x14ac:dyDescent="0.25">
      <c r="A581" s="4" t="s">
        <v>483</v>
      </c>
      <c r="B581" s="4" t="s">
        <v>210</v>
      </c>
      <c r="C581" s="17" t="str">
        <f t="shared" si="9"/>
        <v>5002</v>
      </c>
      <c r="D581" s="12">
        <v>0</v>
      </c>
    </row>
    <row r="582" spans="1:4" x14ac:dyDescent="0.25">
      <c r="A582" s="4" t="s">
        <v>484</v>
      </c>
      <c r="B582" s="4" t="s">
        <v>210</v>
      </c>
      <c r="C582" s="17" t="str">
        <f t="shared" si="9"/>
        <v>5002</v>
      </c>
      <c r="D582" s="12">
        <v>0</v>
      </c>
    </row>
    <row r="583" spans="1:4" x14ac:dyDescent="0.25">
      <c r="A583" s="4" t="s">
        <v>485</v>
      </c>
      <c r="B583" s="4" t="s">
        <v>210</v>
      </c>
      <c r="C583" s="17" t="str">
        <f t="shared" si="9"/>
        <v>5002</v>
      </c>
      <c r="D583" s="12">
        <v>0</v>
      </c>
    </row>
    <row r="584" spans="1:4" x14ac:dyDescent="0.25">
      <c r="A584" s="4" t="s">
        <v>486</v>
      </c>
      <c r="B584" s="4" t="s">
        <v>210</v>
      </c>
      <c r="C584" s="17" t="str">
        <f t="shared" si="9"/>
        <v>5002</v>
      </c>
      <c r="D584" s="12">
        <v>0</v>
      </c>
    </row>
    <row r="585" spans="1:4" x14ac:dyDescent="0.25">
      <c r="A585" s="4" t="s">
        <v>487</v>
      </c>
      <c r="B585" s="4" t="s">
        <v>210</v>
      </c>
      <c r="C585" s="17" t="str">
        <f t="shared" si="9"/>
        <v>5002</v>
      </c>
      <c r="D585" s="12">
        <v>0</v>
      </c>
    </row>
    <row r="586" spans="1:4" x14ac:dyDescent="0.25">
      <c r="A586" s="4" t="s">
        <v>488</v>
      </c>
      <c r="B586" s="4" t="s">
        <v>210</v>
      </c>
      <c r="C586" s="17" t="str">
        <f t="shared" si="9"/>
        <v>5002</v>
      </c>
      <c r="D586" s="12">
        <v>0</v>
      </c>
    </row>
    <row r="587" spans="1:4" x14ac:dyDescent="0.25">
      <c r="A587" s="4" t="s">
        <v>489</v>
      </c>
      <c r="B587" s="4" t="s">
        <v>210</v>
      </c>
      <c r="C587" s="17" t="str">
        <f t="shared" si="9"/>
        <v>5002</v>
      </c>
      <c r="D587" s="12">
        <v>0</v>
      </c>
    </row>
    <row r="588" spans="1:4" x14ac:dyDescent="0.25">
      <c r="A588" s="4" t="s">
        <v>490</v>
      </c>
      <c r="B588" s="4" t="s">
        <v>210</v>
      </c>
      <c r="C588" s="17" t="str">
        <f t="shared" si="9"/>
        <v>5002</v>
      </c>
      <c r="D588" s="12">
        <v>0</v>
      </c>
    </row>
    <row r="589" spans="1:4" x14ac:dyDescent="0.25">
      <c r="A589" s="4" t="s">
        <v>491</v>
      </c>
      <c r="B589" s="4" t="s">
        <v>210</v>
      </c>
      <c r="C589" s="17" t="str">
        <f t="shared" si="9"/>
        <v>5002</v>
      </c>
      <c r="D589" s="12">
        <v>0</v>
      </c>
    </row>
    <row r="590" spans="1:4" x14ac:dyDescent="0.25">
      <c r="A590" s="4" t="s">
        <v>492</v>
      </c>
      <c r="B590" s="4" t="s">
        <v>210</v>
      </c>
      <c r="C590" s="17" t="str">
        <f t="shared" si="9"/>
        <v>5002</v>
      </c>
      <c r="D590" s="12">
        <v>0</v>
      </c>
    </row>
    <row r="591" spans="1:4" x14ac:dyDescent="0.25">
      <c r="A591" s="4" t="s">
        <v>493</v>
      </c>
      <c r="B591" s="4" t="s">
        <v>210</v>
      </c>
      <c r="C591" s="17" t="str">
        <f t="shared" si="9"/>
        <v>5002</v>
      </c>
      <c r="D591" s="12">
        <v>0</v>
      </c>
    </row>
    <row r="592" spans="1:4" x14ac:dyDescent="0.25">
      <c r="A592" s="4" t="s">
        <v>494</v>
      </c>
      <c r="B592" s="4" t="s">
        <v>210</v>
      </c>
      <c r="C592" s="17" t="str">
        <f t="shared" si="9"/>
        <v>5002</v>
      </c>
      <c r="D592" s="12">
        <v>0</v>
      </c>
    </row>
    <row r="593" spans="1:4" x14ac:dyDescent="0.25">
      <c r="A593" s="4" t="s">
        <v>495</v>
      </c>
      <c r="B593" s="4" t="s">
        <v>210</v>
      </c>
      <c r="C593" s="17" t="str">
        <f t="shared" si="9"/>
        <v>5002</v>
      </c>
      <c r="D593" s="12">
        <v>0</v>
      </c>
    </row>
    <row r="594" spans="1:4" x14ac:dyDescent="0.25">
      <c r="A594" s="20" t="s">
        <v>496</v>
      </c>
      <c r="B594" s="4" t="s">
        <v>131</v>
      </c>
      <c r="C594" s="17" t="str">
        <f t="shared" si="9"/>
        <v>EU</v>
      </c>
      <c r="D594" s="12">
        <v>0</v>
      </c>
    </row>
    <row r="595" spans="1:4" x14ac:dyDescent="0.25">
      <c r="A595" s="4" t="s">
        <v>497</v>
      </c>
      <c r="B595" s="4" t="s">
        <v>131</v>
      </c>
      <c r="C595" s="17" t="str">
        <f t="shared" si="9"/>
        <v>EU</v>
      </c>
      <c r="D595" s="12">
        <v>0</v>
      </c>
    </row>
    <row r="596" spans="1:4" x14ac:dyDescent="0.25">
      <c r="A596" s="4" t="s">
        <v>498</v>
      </c>
      <c r="B596" s="4" t="s">
        <v>131</v>
      </c>
      <c r="C596" s="17" t="str">
        <f t="shared" si="9"/>
        <v>EU</v>
      </c>
      <c r="D596" s="12">
        <v>0</v>
      </c>
    </row>
    <row r="597" spans="1:4" x14ac:dyDescent="0.25">
      <c r="A597" s="4" t="s">
        <v>499</v>
      </c>
      <c r="B597" s="4" t="s">
        <v>131</v>
      </c>
      <c r="C597" s="17" t="str">
        <f t="shared" si="9"/>
        <v>EU</v>
      </c>
      <c r="D597" s="12">
        <v>0</v>
      </c>
    </row>
    <row r="598" spans="1:4" x14ac:dyDescent="0.25">
      <c r="A598" s="4" t="s">
        <v>500</v>
      </c>
      <c r="B598" s="4" t="s">
        <v>131</v>
      </c>
      <c r="C598" s="17" t="str">
        <f t="shared" si="9"/>
        <v>EU</v>
      </c>
      <c r="D598" s="12">
        <v>0</v>
      </c>
    </row>
    <row r="599" spans="1:4" x14ac:dyDescent="0.25">
      <c r="A599" s="4" t="s">
        <v>501</v>
      </c>
      <c r="B599" s="4" t="s">
        <v>131</v>
      </c>
      <c r="C599" s="17" t="str">
        <f t="shared" si="9"/>
        <v>EU</v>
      </c>
      <c r="D599" s="12">
        <v>0</v>
      </c>
    </row>
    <row r="600" spans="1:4" x14ac:dyDescent="0.25">
      <c r="A600" s="4" t="s">
        <v>502</v>
      </c>
      <c r="B600" s="4" t="s">
        <v>131</v>
      </c>
      <c r="C600" s="17" t="str">
        <f t="shared" si="9"/>
        <v>EU</v>
      </c>
      <c r="D600" s="12">
        <v>0</v>
      </c>
    </row>
    <row r="601" spans="1:4" x14ac:dyDescent="0.25">
      <c r="A601" s="4" t="s">
        <v>503</v>
      </c>
      <c r="B601" s="4" t="s">
        <v>131</v>
      </c>
      <c r="C601" s="17" t="str">
        <f t="shared" si="9"/>
        <v>EU</v>
      </c>
      <c r="D601" s="12">
        <v>0</v>
      </c>
    </row>
    <row r="602" spans="1:4" x14ac:dyDescent="0.25">
      <c r="A602" s="4" t="s">
        <v>504</v>
      </c>
      <c r="B602" s="4" t="s">
        <v>131</v>
      </c>
      <c r="C602" s="17" t="str">
        <f t="shared" si="9"/>
        <v>EU</v>
      </c>
      <c r="D602" s="12">
        <v>0</v>
      </c>
    </row>
    <row r="603" spans="1:4" x14ac:dyDescent="0.25">
      <c r="A603" s="4" t="s">
        <v>505</v>
      </c>
      <c r="B603" s="4" t="s">
        <v>131</v>
      </c>
      <c r="C603" s="17" t="str">
        <f t="shared" si="9"/>
        <v>EU</v>
      </c>
      <c r="D603" s="12">
        <v>0</v>
      </c>
    </row>
    <row r="604" spans="1:4" x14ac:dyDescent="0.25">
      <c r="A604" s="4" t="s">
        <v>506</v>
      </c>
      <c r="B604" s="4" t="s">
        <v>131</v>
      </c>
      <c r="C604" s="17" t="str">
        <f t="shared" si="9"/>
        <v>EU</v>
      </c>
      <c r="D604" s="12">
        <v>0</v>
      </c>
    </row>
    <row r="605" spans="1:4" x14ac:dyDescent="0.25">
      <c r="A605" s="20" t="s">
        <v>496</v>
      </c>
      <c r="B605" s="4" t="s">
        <v>132</v>
      </c>
      <c r="C605" s="17" t="str">
        <f t="shared" si="9"/>
        <v>TR</v>
      </c>
      <c r="D605" s="12">
        <v>0</v>
      </c>
    </row>
    <row r="606" spans="1:4" x14ac:dyDescent="0.25">
      <c r="A606" s="4" t="s">
        <v>497</v>
      </c>
      <c r="B606" s="4" t="s">
        <v>132</v>
      </c>
      <c r="C606" s="17" t="str">
        <f t="shared" si="9"/>
        <v>TR</v>
      </c>
      <c r="D606" s="12">
        <v>0</v>
      </c>
    </row>
    <row r="607" spans="1:4" x14ac:dyDescent="0.25">
      <c r="A607" s="4" t="s">
        <v>498</v>
      </c>
      <c r="B607" s="4" t="s">
        <v>132</v>
      </c>
      <c r="C607" s="17" t="str">
        <f t="shared" si="9"/>
        <v>TR</v>
      </c>
      <c r="D607" s="12">
        <v>0</v>
      </c>
    </row>
    <row r="608" spans="1:4" x14ac:dyDescent="0.25">
      <c r="A608" s="4" t="s">
        <v>499</v>
      </c>
      <c r="B608" s="4" t="s">
        <v>132</v>
      </c>
      <c r="C608" s="17" t="str">
        <f t="shared" si="9"/>
        <v>TR</v>
      </c>
      <c r="D608" s="12">
        <v>0</v>
      </c>
    </row>
    <row r="609" spans="1:4" x14ac:dyDescent="0.25">
      <c r="A609" s="4" t="s">
        <v>500</v>
      </c>
      <c r="B609" s="4" t="s">
        <v>132</v>
      </c>
      <c r="C609" s="17" t="str">
        <f t="shared" si="9"/>
        <v>TR</v>
      </c>
      <c r="D609" s="12">
        <v>0</v>
      </c>
    </row>
    <row r="610" spans="1:4" x14ac:dyDescent="0.25">
      <c r="A610" s="4" t="s">
        <v>501</v>
      </c>
      <c r="B610" s="4" t="s">
        <v>132</v>
      </c>
      <c r="C610" s="17" t="str">
        <f t="shared" si="9"/>
        <v>TR</v>
      </c>
      <c r="D610" s="12">
        <v>0</v>
      </c>
    </row>
    <row r="611" spans="1:4" x14ac:dyDescent="0.25">
      <c r="A611" s="4" t="s">
        <v>502</v>
      </c>
      <c r="B611" s="4" t="s">
        <v>132</v>
      </c>
      <c r="C611" s="17" t="str">
        <f t="shared" si="9"/>
        <v>TR</v>
      </c>
      <c r="D611" s="12">
        <v>0</v>
      </c>
    </row>
    <row r="612" spans="1:4" x14ac:dyDescent="0.25">
      <c r="A612" s="4" t="s">
        <v>503</v>
      </c>
      <c r="B612" s="4" t="s">
        <v>132</v>
      </c>
      <c r="C612" s="17" t="str">
        <f t="shared" si="9"/>
        <v>TR</v>
      </c>
      <c r="D612" s="12">
        <v>0</v>
      </c>
    </row>
    <row r="613" spans="1:4" x14ac:dyDescent="0.25">
      <c r="A613" s="4" t="s">
        <v>504</v>
      </c>
      <c r="B613" s="4" t="s">
        <v>132</v>
      </c>
      <c r="C613" s="17" t="str">
        <f t="shared" si="9"/>
        <v>TR</v>
      </c>
      <c r="D613" s="12">
        <v>0</v>
      </c>
    </row>
    <row r="614" spans="1:4" x14ac:dyDescent="0.25">
      <c r="A614" s="4" t="s">
        <v>505</v>
      </c>
      <c r="B614" s="4" t="s">
        <v>132</v>
      </c>
      <c r="C614" s="17" t="str">
        <f t="shared" si="9"/>
        <v>TR</v>
      </c>
      <c r="D614" s="12">
        <v>0</v>
      </c>
    </row>
    <row r="615" spans="1:4" x14ac:dyDescent="0.25">
      <c r="A615" s="4" t="s">
        <v>506</v>
      </c>
      <c r="B615" s="4" t="s">
        <v>132</v>
      </c>
      <c r="C615" s="17" t="str">
        <f t="shared" si="9"/>
        <v>TR</v>
      </c>
      <c r="D615" s="12">
        <v>0</v>
      </c>
    </row>
    <row r="616" spans="1:4" x14ac:dyDescent="0.25">
      <c r="A616" s="20" t="s">
        <v>496</v>
      </c>
      <c r="B616" s="4" t="s">
        <v>212</v>
      </c>
      <c r="C616" s="17" t="str">
        <f t="shared" si="9"/>
        <v>RU</v>
      </c>
      <c r="D616" s="12">
        <v>0</v>
      </c>
    </row>
    <row r="617" spans="1:4" x14ac:dyDescent="0.25">
      <c r="A617" s="4" t="s">
        <v>497</v>
      </c>
      <c r="B617" s="4" t="s">
        <v>212</v>
      </c>
      <c r="C617" s="17" t="str">
        <f t="shared" si="9"/>
        <v>RU</v>
      </c>
      <c r="D617" s="12">
        <v>0</v>
      </c>
    </row>
    <row r="618" spans="1:4" x14ac:dyDescent="0.25">
      <c r="A618" s="4" t="s">
        <v>498</v>
      </c>
      <c r="B618" s="4" t="s">
        <v>212</v>
      </c>
      <c r="C618" s="17" t="str">
        <f t="shared" si="9"/>
        <v>RU</v>
      </c>
      <c r="D618" s="12">
        <v>0</v>
      </c>
    </row>
    <row r="619" spans="1:4" x14ac:dyDescent="0.25">
      <c r="A619" s="4" t="s">
        <v>499</v>
      </c>
      <c r="B619" s="4" t="s">
        <v>212</v>
      </c>
      <c r="C619" s="17" t="str">
        <f t="shared" si="9"/>
        <v>RU</v>
      </c>
      <c r="D619" s="12">
        <v>0</v>
      </c>
    </row>
    <row r="620" spans="1:4" x14ac:dyDescent="0.25">
      <c r="A620" s="4" t="s">
        <v>500</v>
      </c>
      <c r="B620" s="4" t="s">
        <v>212</v>
      </c>
      <c r="C620" s="17" t="str">
        <f t="shared" si="9"/>
        <v>RU</v>
      </c>
      <c r="D620" s="12">
        <v>0</v>
      </c>
    </row>
    <row r="621" spans="1:4" x14ac:dyDescent="0.25">
      <c r="A621" s="4" t="s">
        <v>501</v>
      </c>
      <c r="B621" s="4" t="s">
        <v>212</v>
      </c>
      <c r="C621" s="17" t="str">
        <f t="shared" si="9"/>
        <v>RU</v>
      </c>
      <c r="D621" s="12">
        <v>0</v>
      </c>
    </row>
    <row r="622" spans="1:4" x14ac:dyDescent="0.25">
      <c r="A622" s="4" t="s">
        <v>502</v>
      </c>
      <c r="B622" s="4" t="s">
        <v>212</v>
      </c>
      <c r="C622" s="17" t="str">
        <f t="shared" si="9"/>
        <v>RU</v>
      </c>
      <c r="D622" s="12">
        <v>0</v>
      </c>
    </row>
    <row r="623" spans="1:4" x14ac:dyDescent="0.25">
      <c r="A623" s="4" t="s">
        <v>503</v>
      </c>
      <c r="B623" s="4" t="s">
        <v>212</v>
      </c>
      <c r="C623" s="17" t="str">
        <f t="shared" si="9"/>
        <v>RU</v>
      </c>
      <c r="D623" s="12">
        <v>0</v>
      </c>
    </row>
    <row r="624" spans="1:4" x14ac:dyDescent="0.25">
      <c r="A624" s="4" t="s">
        <v>504</v>
      </c>
      <c r="B624" s="4" t="s">
        <v>212</v>
      </c>
      <c r="C624" s="17" t="str">
        <f t="shared" si="9"/>
        <v>RU</v>
      </c>
      <c r="D624" s="12">
        <v>0</v>
      </c>
    </row>
    <row r="625" spans="1:4" x14ac:dyDescent="0.25">
      <c r="A625" s="4" t="s">
        <v>505</v>
      </c>
      <c r="B625" s="4" t="s">
        <v>212</v>
      </c>
      <c r="C625" s="17" t="str">
        <f t="shared" si="9"/>
        <v>RU</v>
      </c>
      <c r="D625" s="12">
        <v>0</v>
      </c>
    </row>
    <row r="626" spans="1:4" x14ac:dyDescent="0.25">
      <c r="A626" s="4" t="s">
        <v>506</v>
      </c>
      <c r="B626" s="4" t="s">
        <v>212</v>
      </c>
      <c r="C626" s="17" t="str">
        <f t="shared" si="9"/>
        <v>RU</v>
      </c>
      <c r="D626" s="12">
        <v>0</v>
      </c>
    </row>
    <row r="627" spans="1:4" x14ac:dyDescent="0.25">
      <c r="A627" s="20" t="s">
        <v>496</v>
      </c>
      <c r="B627" s="4" t="s">
        <v>214</v>
      </c>
      <c r="C627" s="17" t="str">
        <f t="shared" si="9"/>
        <v>5002</v>
      </c>
      <c r="D627" s="12">
        <v>0</v>
      </c>
    </row>
    <row r="628" spans="1:4" x14ac:dyDescent="0.25">
      <c r="A628" s="4" t="s">
        <v>497</v>
      </c>
      <c r="B628" s="4" t="s">
        <v>214</v>
      </c>
      <c r="C628" s="17" t="str">
        <f t="shared" si="9"/>
        <v>5002</v>
      </c>
      <c r="D628" s="12">
        <v>0</v>
      </c>
    </row>
    <row r="629" spans="1:4" x14ac:dyDescent="0.25">
      <c r="A629" s="4" t="s">
        <v>498</v>
      </c>
      <c r="B629" s="4" t="s">
        <v>214</v>
      </c>
      <c r="C629" s="17" t="str">
        <f t="shared" si="9"/>
        <v>5002</v>
      </c>
      <c r="D629" s="12">
        <v>0</v>
      </c>
    </row>
    <row r="630" spans="1:4" x14ac:dyDescent="0.25">
      <c r="A630" s="4" t="s">
        <v>499</v>
      </c>
      <c r="B630" s="4" t="s">
        <v>214</v>
      </c>
      <c r="C630" s="17" t="str">
        <f t="shared" si="9"/>
        <v>5002</v>
      </c>
      <c r="D630" s="12">
        <v>0</v>
      </c>
    </row>
    <row r="631" spans="1:4" x14ac:dyDescent="0.25">
      <c r="A631" s="4" t="s">
        <v>500</v>
      </c>
      <c r="B631" s="4" t="s">
        <v>214</v>
      </c>
      <c r="C631" s="17" t="str">
        <f t="shared" si="9"/>
        <v>5002</v>
      </c>
      <c r="D631" s="12">
        <v>0</v>
      </c>
    </row>
    <row r="632" spans="1:4" x14ac:dyDescent="0.25">
      <c r="A632" s="4" t="s">
        <v>501</v>
      </c>
      <c r="B632" s="4" t="s">
        <v>214</v>
      </c>
      <c r="C632" s="17" t="str">
        <f t="shared" si="9"/>
        <v>5002</v>
      </c>
      <c r="D632" s="12">
        <v>0</v>
      </c>
    </row>
    <row r="633" spans="1:4" x14ac:dyDescent="0.25">
      <c r="A633" s="4" t="s">
        <v>502</v>
      </c>
      <c r="B633" s="4" t="s">
        <v>214</v>
      </c>
      <c r="C633" s="17" t="str">
        <f t="shared" si="9"/>
        <v>5002</v>
      </c>
      <c r="D633" s="12">
        <v>0</v>
      </c>
    </row>
    <row r="634" spans="1:4" x14ac:dyDescent="0.25">
      <c r="A634" s="4" t="s">
        <v>503</v>
      </c>
      <c r="B634" s="4" t="s">
        <v>214</v>
      </c>
      <c r="C634" s="17" t="str">
        <f t="shared" si="9"/>
        <v>5002</v>
      </c>
      <c r="D634" s="12">
        <v>0</v>
      </c>
    </row>
    <row r="635" spans="1:4" x14ac:dyDescent="0.25">
      <c r="A635" s="4" t="s">
        <v>504</v>
      </c>
      <c r="B635" s="4" t="s">
        <v>214</v>
      </c>
      <c r="C635" s="17" t="str">
        <f t="shared" si="9"/>
        <v>5002</v>
      </c>
      <c r="D635" s="12">
        <v>0</v>
      </c>
    </row>
    <row r="636" spans="1:4" x14ac:dyDescent="0.25">
      <c r="A636" s="4" t="s">
        <v>505</v>
      </c>
      <c r="B636" s="4" t="s">
        <v>214</v>
      </c>
      <c r="C636" s="17" t="str">
        <f t="shared" si="9"/>
        <v>5002</v>
      </c>
      <c r="D636" s="12">
        <v>0</v>
      </c>
    </row>
    <row r="637" spans="1:4" x14ac:dyDescent="0.25">
      <c r="A637" s="4" t="s">
        <v>506</v>
      </c>
      <c r="B637" s="4" t="s">
        <v>214</v>
      </c>
      <c r="C637" s="17" t="str">
        <f t="shared" si="9"/>
        <v>5002</v>
      </c>
      <c r="D637" s="12">
        <v>0</v>
      </c>
    </row>
    <row r="638" spans="1:4" x14ac:dyDescent="0.25">
      <c r="A638" s="20" t="s">
        <v>507</v>
      </c>
      <c r="B638" s="4" t="s">
        <v>133</v>
      </c>
      <c r="C638" s="17" t="str">
        <f t="shared" si="9"/>
        <v>EU</v>
      </c>
      <c r="D638" s="12">
        <v>0</v>
      </c>
    </row>
    <row r="639" spans="1:4" x14ac:dyDescent="0.25">
      <c r="A639" s="4" t="s">
        <v>508</v>
      </c>
      <c r="B639" s="4" t="s">
        <v>133</v>
      </c>
      <c r="C639" s="17" t="str">
        <f t="shared" si="9"/>
        <v>EU</v>
      </c>
      <c r="D639" s="12">
        <v>0</v>
      </c>
    </row>
    <row r="640" spans="1:4" x14ac:dyDescent="0.25">
      <c r="A640" s="4" t="s">
        <v>509</v>
      </c>
      <c r="B640" s="4" t="s">
        <v>133</v>
      </c>
      <c r="C640" s="17" t="str">
        <f t="shared" si="9"/>
        <v>EU</v>
      </c>
      <c r="D640" s="12">
        <v>0</v>
      </c>
    </row>
    <row r="641" spans="1:4" x14ac:dyDescent="0.25">
      <c r="A641" s="4" t="s">
        <v>510</v>
      </c>
      <c r="B641" s="4" t="s">
        <v>133</v>
      </c>
      <c r="C641" s="17" t="str">
        <f t="shared" si="9"/>
        <v>EU</v>
      </c>
      <c r="D641" s="12">
        <v>0</v>
      </c>
    </row>
    <row r="642" spans="1:4" x14ac:dyDescent="0.25">
      <c r="A642" s="4" t="s">
        <v>511</v>
      </c>
      <c r="B642" s="4" t="s">
        <v>133</v>
      </c>
      <c r="C642" s="17" t="str">
        <f t="shared" ref="C642:C705" si="10">VLOOKUP(B642, quota_order_numbers2, 6, FALSE)</f>
        <v>EU</v>
      </c>
      <c r="D642" s="12">
        <v>0</v>
      </c>
    </row>
    <row r="643" spans="1:4" x14ac:dyDescent="0.25">
      <c r="A643" s="4" t="s">
        <v>512</v>
      </c>
      <c r="B643" s="4" t="s">
        <v>133</v>
      </c>
      <c r="C643" s="17" t="str">
        <f t="shared" si="10"/>
        <v>EU</v>
      </c>
      <c r="D643" s="12">
        <v>0</v>
      </c>
    </row>
    <row r="644" spans="1:4" x14ac:dyDescent="0.25">
      <c r="A644" s="4" t="s">
        <v>513</v>
      </c>
      <c r="B644" s="4" t="s">
        <v>133</v>
      </c>
      <c r="C644" s="17" t="str">
        <f t="shared" si="10"/>
        <v>EU</v>
      </c>
      <c r="D644" s="12">
        <v>0</v>
      </c>
    </row>
    <row r="645" spans="1:4" x14ac:dyDescent="0.25">
      <c r="A645" s="4" t="s">
        <v>514</v>
      </c>
      <c r="B645" s="4" t="s">
        <v>133</v>
      </c>
      <c r="C645" s="17" t="str">
        <f t="shared" si="10"/>
        <v>EU</v>
      </c>
      <c r="D645" s="12">
        <v>0</v>
      </c>
    </row>
    <row r="646" spans="1:4" x14ac:dyDescent="0.25">
      <c r="A646" s="4" t="s">
        <v>515</v>
      </c>
      <c r="B646" s="4" t="s">
        <v>133</v>
      </c>
      <c r="C646" s="17" t="str">
        <f t="shared" si="10"/>
        <v>EU</v>
      </c>
      <c r="D646" s="12">
        <v>0</v>
      </c>
    </row>
    <row r="647" spans="1:4" x14ac:dyDescent="0.25">
      <c r="A647" s="4" t="s">
        <v>516</v>
      </c>
      <c r="B647" s="4" t="s">
        <v>133</v>
      </c>
      <c r="C647" s="17" t="str">
        <f t="shared" si="10"/>
        <v>EU</v>
      </c>
      <c r="D647" s="12">
        <v>0</v>
      </c>
    </row>
    <row r="648" spans="1:4" x14ac:dyDescent="0.25">
      <c r="A648" s="4" t="s">
        <v>517</v>
      </c>
      <c r="B648" s="4" t="s">
        <v>133</v>
      </c>
      <c r="C648" s="17" t="str">
        <f t="shared" si="10"/>
        <v>EU</v>
      </c>
      <c r="D648" s="12">
        <v>0</v>
      </c>
    </row>
    <row r="649" spans="1:4" x14ac:dyDescent="0.25">
      <c r="A649" s="4" t="s">
        <v>518</v>
      </c>
      <c r="B649" s="4" t="s">
        <v>133</v>
      </c>
      <c r="C649" s="17" t="str">
        <f t="shared" si="10"/>
        <v>EU</v>
      </c>
      <c r="D649" s="12">
        <v>0</v>
      </c>
    </row>
    <row r="650" spans="1:4" x14ac:dyDescent="0.25">
      <c r="A650" s="4" t="s">
        <v>519</v>
      </c>
      <c r="B650" s="4" t="s">
        <v>133</v>
      </c>
      <c r="C650" s="17" t="str">
        <f t="shared" si="10"/>
        <v>EU</v>
      </c>
      <c r="D650" s="12">
        <v>0</v>
      </c>
    </row>
    <row r="651" spans="1:4" x14ac:dyDescent="0.25">
      <c r="A651" s="4" t="s">
        <v>520</v>
      </c>
      <c r="B651" s="4" t="s">
        <v>133</v>
      </c>
      <c r="C651" s="17" t="str">
        <f t="shared" si="10"/>
        <v>EU</v>
      </c>
      <c r="D651" s="12">
        <v>0</v>
      </c>
    </row>
    <row r="652" spans="1:4" x14ac:dyDescent="0.25">
      <c r="A652" s="4" t="s">
        <v>521</v>
      </c>
      <c r="B652" s="4" t="s">
        <v>133</v>
      </c>
      <c r="C652" s="17" t="str">
        <f t="shared" si="10"/>
        <v>EU</v>
      </c>
      <c r="D652" s="12">
        <v>0</v>
      </c>
    </row>
    <row r="653" spans="1:4" x14ac:dyDescent="0.25">
      <c r="A653" s="4" t="s">
        <v>522</v>
      </c>
      <c r="B653" s="4" t="s">
        <v>133</v>
      </c>
      <c r="C653" s="17" t="str">
        <f t="shared" si="10"/>
        <v>EU</v>
      </c>
      <c r="D653" s="12">
        <v>0</v>
      </c>
    </row>
    <row r="654" spans="1:4" x14ac:dyDescent="0.25">
      <c r="A654" s="20" t="s">
        <v>507</v>
      </c>
      <c r="B654" s="4" t="s">
        <v>215</v>
      </c>
      <c r="C654" s="17" t="str">
        <f t="shared" si="10"/>
        <v>TR</v>
      </c>
      <c r="D654" s="12">
        <v>0</v>
      </c>
    </row>
    <row r="655" spans="1:4" x14ac:dyDescent="0.25">
      <c r="A655" s="4" t="s">
        <v>508</v>
      </c>
      <c r="B655" s="4" t="s">
        <v>215</v>
      </c>
      <c r="C655" s="17" t="str">
        <f t="shared" si="10"/>
        <v>TR</v>
      </c>
      <c r="D655" s="12">
        <v>0</v>
      </c>
    </row>
    <row r="656" spans="1:4" x14ac:dyDescent="0.25">
      <c r="A656" s="4" t="s">
        <v>509</v>
      </c>
      <c r="B656" s="4" t="s">
        <v>215</v>
      </c>
      <c r="C656" s="17" t="str">
        <f t="shared" si="10"/>
        <v>TR</v>
      </c>
      <c r="D656" s="12">
        <v>0</v>
      </c>
    </row>
    <row r="657" spans="1:4" x14ac:dyDescent="0.25">
      <c r="A657" s="4" t="s">
        <v>510</v>
      </c>
      <c r="B657" s="4" t="s">
        <v>215</v>
      </c>
      <c r="C657" s="17" t="str">
        <f t="shared" si="10"/>
        <v>TR</v>
      </c>
      <c r="D657" s="12">
        <v>0</v>
      </c>
    </row>
    <row r="658" spans="1:4" x14ac:dyDescent="0.25">
      <c r="A658" s="4" t="s">
        <v>511</v>
      </c>
      <c r="B658" s="4" t="s">
        <v>215</v>
      </c>
      <c r="C658" s="17" t="str">
        <f t="shared" si="10"/>
        <v>TR</v>
      </c>
      <c r="D658" s="12">
        <v>0</v>
      </c>
    </row>
    <row r="659" spans="1:4" x14ac:dyDescent="0.25">
      <c r="A659" s="4" t="s">
        <v>512</v>
      </c>
      <c r="B659" s="4" t="s">
        <v>215</v>
      </c>
      <c r="C659" s="17" t="str">
        <f t="shared" si="10"/>
        <v>TR</v>
      </c>
      <c r="D659" s="12">
        <v>0</v>
      </c>
    </row>
    <row r="660" spans="1:4" x14ac:dyDescent="0.25">
      <c r="A660" s="4" t="s">
        <v>513</v>
      </c>
      <c r="B660" s="4" t="s">
        <v>215</v>
      </c>
      <c r="C660" s="17" t="str">
        <f t="shared" si="10"/>
        <v>TR</v>
      </c>
      <c r="D660" s="12">
        <v>0</v>
      </c>
    </row>
    <row r="661" spans="1:4" x14ac:dyDescent="0.25">
      <c r="A661" s="4" t="s">
        <v>514</v>
      </c>
      <c r="B661" s="4" t="s">
        <v>215</v>
      </c>
      <c r="C661" s="17" t="str">
        <f t="shared" si="10"/>
        <v>TR</v>
      </c>
      <c r="D661" s="12">
        <v>0</v>
      </c>
    </row>
    <row r="662" spans="1:4" x14ac:dyDescent="0.25">
      <c r="A662" s="4" t="s">
        <v>515</v>
      </c>
      <c r="B662" s="4" t="s">
        <v>215</v>
      </c>
      <c r="C662" s="17" t="str">
        <f t="shared" si="10"/>
        <v>TR</v>
      </c>
      <c r="D662" s="12">
        <v>0</v>
      </c>
    </row>
    <row r="663" spans="1:4" x14ac:dyDescent="0.25">
      <c r="A663" s="4" t="s">
        <v>516</v>
      </c>
      <c r="B663" s="4" t="s">
        <v>215</v>
      </c>
      <c r="C663" s="17" t="str">
        <f t="shared" si="10"/>
        <v>TR</v>
      </c>
      <c r="D663" s="12">
        <v>0</v>
      </c>
    </row>
    <row r="664" spans="1:4" x14ac:dyDescent="0.25">
      <c r="A664" s="4" t="s">
        <v>517</v>
      </c>
      <c r="B664" s="4" t="s">
        <v>215</v>
      </c>
      <c r="C664" s="17" t="str">
        <f t="shared" si="10"/>
        <v>TR</v>
      </c>
      <c r="D664" s="12">
        <v>0</v>
      </c>
    </row>
    <row r="665" spans="1:4" x14ac:dyDescent="0.25">
      <c r="A665" s="4" t="s">
        <v>518</v>
      </c>
      <c r="B665" s="4" t="s">
        <v>215</v>
      </c>
      <c r="C665" s="17" t="str">
        <f t="shared" si="10"/>
        <v>TR</v>
      </c>
      <c r="D665" s="12">
        <v>0</v>
      </c>
    </row>
    <row r="666" spans="1:4" x14ac:dyDescent="0.25">
      <c r="A666" s="4" t="s">
        <v>519</v>
      </c>
      <c r="B666" s="4" t="s">
        <v>215</v>
      </c>
      <c r="C666" s="17" t="str">
        <f t="shared" si="10"/>
        <v>TR</v>
      </c>
      <c r="D666" s="12">
        <v>0</v>
      </c>
    </row>
    <row r="667" spans="1:4" x14ac:dyDescent="0.25">
      <c r="A667" s="4" t="s">
        <v>520</v>
      </c>
      <c r="B667" s="4" t="s">
        <v>215</v>
      </c>
      <c r="C667" s="17" t="str">
        <f t="shared" si="10"/>
        <v>TR</v>
      </c>
      <c r="D667" s="12">
        <v>0</v>
      </c>
    </row>
    <row r="668" spans="1:4" x14ac:dyDescent="0.25">
      <c r="A668" s="4" t="s">
        <v>521</v>
      </c>
      <c r="B668" s="4" t="s">
        <v>215</v>
      </c>
      <c r="C668" s="17" t="str">
        <f t="shared" si="10"/>
        <v>TR</v>
      </c>
      <c r="D668" s="12">
        <v>0</v>
      </c>
    </row>
    <row r="669" spans="1:4" x14ac:dyDescent="0.25">
      <c r="A669" s="4" t="s">
        <v>522</v>
      </c>
      <c r="B669" s="4" t="s">
        <v>215</v>
      </c>
      <c r="C669" s="17" t="str">
        <f t="shared" si="10"/>
        <v>TR</v>
      </c>
      <c r="D669" s="12">
        <v>0</v>
      </c>
    </row>
    <row r="670" spans="1:4" x14ac:dyDescent="0.25">
      <c r="A670" s="20" t="s">
        <v>507</v>
      </c>
      <c r="B670" s="4" t="s">
        <v>216</v>
      </c>
      <c r="C670" s="17" t="str">
        <f t="shared" si="10"/>
        <v>CN</v>
      </c>
      <c r="D670" s="12">
        <v>0</v>
      </c>
    </row>
    <row r="671" spans="1:4" x14ac:dyDescent="0.25">
      <c r="A671" s="4" t="s">
        <v>508</v>
      </c>
      <c r="B671" s="4" t="s">
        <v>216</v>
      </c>
      <c r="C671" s="17" t="str">
        <f t="shared" si="10"/>
        <v>CN</v>
      </c>
      <c r="D671" s="12">
        <v>0</v>
      </c>
    </row>
    <row r="672" spans="1:4" x14ac:dyDescent="0.25">
      <c r="A672" s="4" t="s">
        <v>509</v>
      </c>
      <c r="B672" s="4" t="s">
        <v>216</v>
      </c>
      <c r="C672" s="17" t="str">
        <f t="shared" si="10"/>
        <v>CN</v>
      </c>
      <c r="D672" s="12">
        <v>0</v>
      </c>
    </row>
    <row r="673" spans="1:4" x14ac:dyDescent="0.25">
      <c r="A673" s="4" t="s">
        <v>510</v>
      </c>
      <c r="B673" s="4" t="s">
        <v>216</v>
      </c>
      <c r="C673" s="17" t="str">
        <f t="shared" si="10"/>
        <v>CN</v>
      </c>
      <c r="D673" s="12">
        <v>0</v>
      </c>
    </row>
    <row r="674" spans="1:4" x14ac:dyDescent="0.25">
      <c r="A674" s="4" t="s">
        <v>511</v>
      </c>
      <c r="B674" s="4" t="s">
        <v>216</v>
      </c>
      <c r="C674" s="17" t="str">
        <f t="shared" si="10"/>
        <v>CN</v>
      </c>
      <c r="D674" s="12">
        <v>0</v>
      </c>
    </row>
    <row r="675" spans="1:4" x14ac:dyDescent="0.25">
      <c r="A675" s="4" t="s">
        <v>512</v>
      </c>
      <c r="B675" s="4" t="s">
        <v>216</v>
      </c>
      <c r="C675" s="17" t="str">
        <f t="shared" si="10"/>
        <v>CN</v>
      </c>
      <c r="D675" s="12">
        <v>0</v>
      </c>
    </row>
    <row r="676" spans="1:4" x14ac:dyDescent="0.25">
      <c r="A676" s="4" t="s">
        <v>513</v>
      </c>
      <c r="B676" s="4" t="s">
        <v>216</v>
      </c>
      <c r="C676" s="17" t="str">
        <f t="shared" si="10"/>
        <v>CN</v>
      </c>
      <c r="D676" s="12">
        <v>0</v>
      </c>
    </row>
    <row r="677" spans="1:4" x14ac:dyDescent="0.25">
      <c r="A677" s="4" t="s">
        <v>514</v>
      </c>
      <c r="B677" s="4" t="s">
        <v>216</v>
      </c>
      <c r="C677" s="17" t="str">
        <f t="shared" si="10"/>
        <v>CN</v>
      </c>
      <c r="D677" s="12">
        <v>0</v>
      </c>
    </row>
    <row r="678" spans="1:4" x14ac:dyDescent="0.25">
      <c r="A678" s="4" t="s">
        <v>515</v>
      </c>
      <c r="B678" s="4" t="s">
        <v>216</v>
      </c>
      <c r="C678" s="17" t="str">
        <f t="shared" si="10"/>
        <v>CN</v>
      </c>
      <c r="D678" s="12">
        <v>0</v>
      </c>
    </row>
    <row r="679" spans="1:4" x14ac:dyDescent="0.25">
      <c r="A679" s="4" t="s">
        <v>516</v>
      </c>
      <c r="B679" s="4" t="s">
        <v>216</v>
      </c>
      <c r="C679" s="17" t="str">
        <f t="shared" si="10"/>
        <v>CN</v>
      </c>
      <c r="D679" s="12">
        <v>0</v>
      </c>
    </row>
    <row r="680" spans="1:4" x14ac:dyDescent="0.25">
      <c r="A680" s="4" t="s">
        <v>517</v>
      </c>
      <c r="B680" s="4" t="s">
        <v>216</v>
      </c>
      <c r="C680" s="17" t="str">
        <f t="shared" si="10"/>
        <v>CN</v>
      </c>
      <c r="D680" s="12">
        <v>0</v>
      </c>
    </row>
    <row r="681" spans="1:4" x14ac:dyDescent="0.25">
      <c r="A681" s="4" t="s">
        <v>518</v>
      </c>
      <c r="B681" s="4" t="s">
        <v>216</v>
      </c>
      <c r="C681" s="17" t="str">
        <f t="shared" si="10"/>
        <v>CN</v>
      </c>
      <c r="D681" s="12">
        <v>0</v>
      </c>
    </row>
    <row r="682" spans="1:4" x14ac:dyDescent="0.25">
      <c r="A682" s="4" t="s">
        <v>519</v>
      </c>
      <c r="B682" s="4" t="s">
        <v>216</v>
      </c>
      <c r="C682" s="17" t="str">
        <f t="shared" si="10"/>
        <v>CN</v>
      </c>
      <c r="D682" s="12">
        <v>0</v>
      </c>
    </row>
    <row r="683" spans="1:4" x14ac:dyDescent="0.25">
      <c r="A683" s="4" t="s">
        <v>520</v>
      </c>
      <c r="B683" s="4" t="s">
        <v>216</v>
      </c>
      <c r="C683" s="17" t="str">
        <f t="shared" si="10"/>
        <v>CN</v>
      </c>
      <c r="D683" s="12">
        <v>0</v>
      </c>
    </row>
    <row r="684" spans="1:4" x14ac:dyDescent="0.25">
      <c r="A684" s="4" t="s">
        <v>521</v>
      </c>
      <c r="B684" s="4" t="s">
        <v>216</v>
      </c>
      <c r="C684" s="17" t="str">
        <f t="shared" si="10"/>
        <v>CN</v>
      </c>
      <c r="D684" s="12">
        <v>0</v>
      </c>
    </row>
    <row r="685" spans="1:4" x14ac:dyDescent="0.25">
      <c r="A685" s="4" t="s">
        <v>522</v>
      </c>
      <c r="B685" s="4" t="s">
        <v>216</v>
      </c>
      <c r="C685" s="17" t="str">
        <f t="shared" si="10"/>
        <v>CN</v>
      </c>
      <c r="D685" s="12">
        <v>0</v>
      </c>
    </row>
    <row r="686" spans="1:4" x14ac:dyDescent="0.25">
      <c r="A686" s="20" t="s">
        <v>507</v>
      </c>
      <c r="B686" s="4" t="s">
        <v>134</v>
      </c>
      <c r="C686" s="17" t="str">
        <f t="shared" si="10"/>
        <v>TH</v>
      </c>
      <c r="D686" s="12">
        <v>0</v>
      </c>
    </row>
    <row r="687" spans="1:4" x14ac:dyDescent="0.25">
      <c r="A687" s="4" t="s">
        <v>508</v>
      </c>
      <c r="B687" s="4" t="s">
        <v>134</v>
      </c>
      <c r="C687" s="17" t="str">
        <f t="shared" si="10"/>
        <v>TH</v>
      </c>
      <c r="D687" s="12">
        <v>0</v>
      </c>
    </row>
    <row r="688" spans="1:4" x14ac:dyDescent="0.25">
      <c r="A688" s="4" t="s">
        <v>509</v>
      </c>
      <c r="B688" s="4" t="s">
        <v>134</v>
      </c>
      <c r="C688" s="17" t="str">
        <f t="shared" si="10"/>
        <v>TH</v>
      </c>
      <c r="D688" s="12">
        <v>0</v>
      </c>
    </row>
    <row r="689" spans="1:4" x14ac:dyDescent="0.25">
      <c r="A689" s="4" t="s">
        <v>510</v>
      </c>
      <c r="B689" s="4" t="s">
        <v>134</v>
      </c>
      <c r="C689" s="17" t="str">
        <f t="shared" si="10"/>
        <v>TH</v>
      </c>
      <c r="D689" s="12">
        <v>0</v>
      </c>
    </row>
    <row r="690" spans="1:4" x14ac:dyDescent="0.25">
      <c r="A690" s="4" t="s">
        <v>511</v>
      </c>
      <c r="B690" s="4" t="s">
        <v>134</v>
      </c>
      <c r="C690" s="17" t="str">
        <f t="shared" si="10"/>
        <v>TH</v>
      </c>
      <c r="D690" s="12">
        <v>0</v>
      </c>
    </row>
    <row r="691" spans="1:4" x14ac:dyDescent="0.25">
      <c r="A691" s="4" t="s">
        <v>512</v>
      </c>
      <c r="B691" s="4" t="s">
        <v>134</v>
      </c>
      <c r="C691" s="17" t="str">
        <f t="shared" si="10"/>
        <v>TH</v>
      </c>
      <c r="D691" s="12">
        <v>0</v>
      </c>
    </row>
    <row r="692" spans="1:4" x14ac:dyDescent="0.25">
      <c r="A692" s="4" t="s">
        <v>513</v>
      </c>
      <c r="B692" s="4" t="s">
        <v>134</v>
      </c>
      <c r="C692" s="17" t="str">
        <f t="shared" si="10"/>
        <v>TH</v>
      </c>
      <c r="D692" s="12">
        <v>0</v>
      </c>
    </row>
    <row r="693" spans="1:4" x14ac:dyDescent="0.25">
      <c r="A693" s="4" t="s">
        <v>514</v>
      </c>
      <c r="B693" s="4" t="s">
        <v>134</v>
      </c>
      <c r="C693" s="17" t="str">
        <f t="shared" si="10"/>
        <v>TH</v>
      </c>
      <c r="D693" s="12">
        <v>0</v>
      </c>
    </row>
    <row r="694" spans="1:4" x14ac:dyDescent="0.25">
      <c r="A694" s="4" t="s">
        <v>515</v>
      </c>
      <c r="B694" s="4" t="s">
        <v>134</v>
      </c>
      <c r="C694" s="17" t="str">
        <f t="shared" si="10"/>
        <v>TH</v>
      </c>
      <c r="D694" s="12">
        <v>0</v>
      </c>
    </row>
    <row r="695" spans="1:4" x14ac:dyDescent="0.25">
      <c r="A695" s="4" t="s">
        <v>516</v>
      </c>
      <c r="B695" s="4" t="s">
        <v>134</v>
      </c>
      <c r="C695" s="17" t="str">
        <f t="shared" si="10"/>
        <v>TH</v>
      </c>
      <c r="D695" s="12">
        <v>0</v>
      </c>
    </row>
    <row r="696" spans="1:4" x14ac:dyDescent="0.25">
      <c r="A696" s="4" t="s">
        <v>517</v>
      </c>
      <c r="B696" s="4" t="s">
        <v>134</v>
      </c>
      <c r="C696" s="17" t="str">
        <f t="shared" si="10"/>
        <v>TH</v>
      </c>
      <c r="D696" s="12">
        <v>0</v>
      </c>
    </row>
    <row r="697" spans="1:4" x14ac:dyDescent="0.25">
      <c r="A697" s="4" t="s">
        <v>518</v>
      </c>
      <c r="B697" s="4" t="s">
        <v>134</v>
      </c>
      <c r="C697" s="17" t="str">
        <f t="shared" si="10"/>
        <v>TH</v>
      </c>
      <c r="D697" s="12">
        <v>0</v>
      </c>
    </row>
    <row r="698" spans="1:4" x14ac:dyDescent="0.25">
      <c r="A698" s="4" t="s">
        <v>519</v>
      </c>
      <c r="B698" s="4" t="s">
        <v>134</v>
      </c>
      <c r="C698" s="17" t="str">
        <f t="shared" si="10"/>
        <v>TH</v>
      </c>
      <c r="D698" s="12">
        <v>0</v>
      </c>
    </row>
    <row r="699" spans="1:4" x14ac:dyDescent="0.25">
      <c r="A699" s="4" t="s">
        <v>520</v>
      </c>
      <c r="B699" s="4" t="s">
        <v>134</v>
      </c>
      <c r="C699" s="17" t="str">
        <f t="shared" si="10"/>
        <v>TH</v>
      </c>
      <c r="D699" s="12">
        <v>0</v>
      </c>
    </row>
    <row r="700" spans="1:4" x14ac:dyDescent="0.25">
      <c r="A700" s="4" t="s">
        <v>521</v>
      </c>
      <c r="B700" s="4" t="s">
        <v>134</v>
      </c>
      <c r="C700" s="17" t="str">
        <f t="shared" si="10"/>
        <v>TH</v>
      </c>
      <c r="D700" s="12">
        <v>0</v>
      </c>
    </row>
    <row r="701" spans="1:4" x14ac:dyDescent="0.25">
      <c r="A701" s="4" t="s">
        <v>522</v>
      </c>
      <c r="B701" s="4" t="s">
        <v>134</v>
      </c>
      <c r="C701" s="17" t="str">
        <f t="shared" si="10"/>
        <v>TH</v>
      </c>
      <c r="D701" s="12">
        <v>0</v>
      </c>
    </row>
    <row r="702" spans="1:4" x14ac:dyDescent="0.25">
      <c r="A702" s="20" t="s">
        <v>507</v>
      </c>
      <c r="B702" s="4" t="s">
        <v>135</v>
      </c>
      <c r="C702" s="17" t="str">
        <f t="shared" si="10"/>
        <v>ZA</v>
      </c>
      <c r="D702" s="12">
        <v>0</v>
      </c>
    </row>
    <row r="703" spans="1:4" x14ac:dyDescent="0.25">
      <c r="A703" s="4" t="s">
        <v>508</v>
      </c>
      <c r="B703" s="4" t="s">
        <v>135</v>
      </c>
      <c r="C703" s="17" t="str">
        <f t="shared" si="10"/>
        <v>ZA</v>
      </c>
      <c r="D703" s="12">
        <v>0</v>
      </c>
    </row>
    <row r="704" spans="1:4" x14ac:dyDescent="0.25">
      <c r="A704" s="4" t="s">
        <v>509</v>
      </c>
      <c r="B704" s="4" t="s">
        <v>135</v>
      </c>
      <c r="C704" s="17" t="str">
        <f t="shared" si="10"/>
        <v>ZA</v>
      </c>
      <c r="D704" s="12">
        <v>0</v>
      </c>
    </row>
    <row r="705" spans="1:4" x14ac:dyDescent="0.25">
      <c r="A705" s="4" t="s">
        <v>510</v>
      </c>
      <c r="B705" s="4" t="s">
        <v>135</v>
      </c>
      <c r="C705" s="17" t="str">
        <f t="shared" si="10"/>
        <v>ZA</v>
      </c>
      <c r="D705" s="12">
        <v>0</v>
      </c>
    </row>
    <row r="706" spans="1:4" x14ac:dyDescent="0.25">
      <c r="A706" s="4" t="s">
        <v>511</v>
      </c>
      <c r="B706" s="4" t="s">
        <v>135</v>
      </c>
      <c r="C706" s="17" t="str">
        <f t="shared" ref="C706:C769" si="11">VLOOKUP(B706, quota_order_numbers2, 6, FALSE)</f>
        <v>ZA</v>
      </c>
      <c r="D706" s="12">
        <v>0</v>
      </c>
    </row>
    <row r="707" spans="1:4" x14ac:dyDescent="0.25">
      <c r="A707" s="4" t="s">
        <v>512</v>
      </c>
      <c r="B707" s="4" t="s">
        <v>135</v>
      </c>
      <c r="C707" s="17" t="str">
        <f t="shared" si="11"/>
        <v>ZA</v>
      </c>
      <c r="D707" s="12">
        <v>0</v>
      </c>
    </row>
    <row r="708" spans="1:4" x14ac:dyDescent="0.25">
      <c r="A708" s="4" t="s">
        <v>513</v>
      </c>
      <c r="B708" s="4" t="s">
        <v>135</v>
      </c>
      <c r="C708" s="17" t="str">
        <f t="shared" si="11"/>
        <v>ZA</v>
      </c>
      <c r="D708" s="12">
        <v>0</v>
      </c>
    </row>
    <row r="709" spans="1:4" x14ac:dyDescent="0.25">
      <c r="A709" s="4" t="s">
        <v>514</v>
      </c>
      <c r="B709" s="4" t="s">
        <v>135</v>
      </c>
      <c r="C709" s="17" t="str">
        <f t="shared" si="11"/>
        <v>ZA</v>
      </c>
      <c r="D709" s="12">
        <v>0</v>
      </c>
    </row>
    <row r="710" spans="1:4" x14ac:dyDescent="0.25">
      <c r="A710" s="4" t="s">
        <v>515</v>
      </c>
      <c r="B710" s="4" t="s">
        <v>135</v>
      </c>
      <c r="C710" s="17" t="str">
        <f t="shared" si="11"/>
        <v>ZA</v>
      </c>
      <c r="D710" s="12">
        <v>0</v>
      </c>
    </row>
    <row r="711" spans="1:4" x14ac:dyDescent="0.25">
      <c r="A711" s="4" t="s">
        <v>516</v>
      </c>
      <c r="B711" s="4" t="s">
        <v>135</v>
      </c>
      <c r="C711" s="17" t="str">
        <f t="shared" si="11"/>
        <v>ZA</v>
      </c>
      <c r="D711" s="12">
        <v>0</v>
      </c>
    </row>
    <row r="712" spans="1:4" x14ac:dyDescent="0.25">
      <c r="A712" s="4" t="s">
        <v>517</v>
      </c>
      <c r="B712" s="4" t="s">
        <v>135</v>
      </c>
      <c r="C712" s="17" t="str">
        <f t="shared" si="11"/>
        <v>ZA</v>
      </c>
      <c r="D712" s="12">
        <v>0</v>
      </c>
    </row>
    <row r="713" spans="1:4" x14ac:dyDescent="0.25">
      <c r="A713" s="4" t="s">
        <v>518</v>
      </c>
      <c r="B713" s="4" t="s">
        <v>135</v>
      </c>
      <c r="C713" s="17" t="str">
        <f t="shared" si="11"/>
        <v>ZA</v>
      </c>
      <c r="D713" s="12">
        <v>0</v>
      </c>
    </row>
    <row r="714" spans="1:4" x14ac:dyDescent="0.25">
      <c r="A714" s="4" t="s">
        <v>519</v>
      </c>
      <c r="B714" s="4" t="s">
        <v>135</v>
      </c>
      <c r="C714" s="17" t="str">
        <f t="shared" si="11"/>
        <v>ZA</v>
      </c>
      <c r="D714" s="12">
        <v>0</v>
      </c>
    </row>
    <row r="715" spans="1:4" x14ac:dyDescent="0.25">
      <c r="A715" s="4" t="s">
        <v>520</v>
      </c>
      <c r="B715" s="4" t="s">
        <v>135</v>
      </c>
      <c r="C715" s="17" t="str">
        <f t="shared" si="11"/>
        <v>ZA</v>
      </c>
      <c r="D715" s="12">
        <v>0</v>
      </c>
    </row>
    <row r="716" spans="1:4" x14ac:dyDescent="0.25">
      <c r="A716" s="4" t="s">
        <v>521</v>
      </c>
      <c r="B716" s="4" t="s">
        <v>135</v>
      </c>
      <c r="C716" s="17" t="str">
        <f t="shared" si="11"/>
        <v>ZA</v>
      </c>
      <c r="D716" s="12">
        <v>0</v>
      </c>
    </row>
    <row r="717" spans="1:4" x14ac:dyDescent="0.25">
      <c r="A717" s="4" t="s">
        <v>522</v>
      </c>
      <c r="B717" s="4" t="s">
        <v>135</v>
      </c>
      <c r="C717" s="17" t="str">
        <f t="shared" si="11"/>
        <v>ZA</v>
      </c>
      <c r="D717" s="12">
        <v>0</v>
      </c>
    </row>
    <row r="718" spans="1:4" x14ac:dyDescent="0.25">
      <c r="A718" s="20" t="s">
        <v>507</v>
      </c>
      <c r="B718" s="4" t="s">
        <v>217</v>
      </c>
      <c r="C718" s="17" t="str">
        <f t="shared" si="11"/>
        <v>5002</v>
      </c>
      <c r="D718" s="12">
        <v>0</v>
      </c>
    </row>
    <row r="719" spans="1:4" x14ac:dyDescent="0.25">
      <c r="A719" s="4" t="s">
        <v>508</v>
      </c>
      <c r="B719" s="4" t="s">
        <v>217</v>
      </c>
      <c r="C719" s="17" t="str">
        <f t="shared" si="11"/>
        <v>5002</v>
      </c>
      <c r="D719" s="12">
        <v>0</v>
      </c>
    </row>
    <row r="720" spans="1:4" x14ac:dyDescent="0.25">
      <c r="A720" s="4" t="s">
        <v>509</v>
      </c>
      <c r="B720" s="4" t="s">
        <v>217</v>
      </c>
      <c r="C720" s="17" t="str">
        <f t="shared" si="11"/>
        <v>5002</v>
      </c>
      <c r="D720" s="12">
        <v>0</v>
      </c>
    </row>
    <row r="721" spans="1:4" x14ac:dyDescent="0.25">
      <c r="A721" s="4" t="s">
        <v>510</v>
      </c>
      <c r="B721" s="4" t="s">
        <v>217</v>
      </c>
      <c r="C721" s="17" t="str">
        <f t="shared" si="11"/>
        <v>5002</v>
      </c>
      <c r="D721" s="12">
        <v>0</v>
      </c>
    </row>
    <row r="722" spans="1:4" x14ac:dyDescent="0.25">
      <c r="A722" s="4" t="s">
        <v>511</v>
      </c>
      <c r="B722" s="4" t="s">
        <v>217</v>
      </c>
      <c r="C722" s="17" t="str">
        <f t="shared" si="11"/>
        <v>5002</v>
      </c>
      <c r="D722" s="12">
        <v>0</v>
      </c>
    </row>
    <row r="723" spans="1:4" x14ac:dyDescent="0.25">
      <c r="A723" s="4" t="s">
        <v>512</v>
      </c>
      <c r="B723" s="4" t="s">
        <v>217</v>
      </c>
      <c r="C723" s="17" t="str">
        <f t="shared" si="11"/>
        <v>5002</v>
      </c>
      <c r="D723" s="12">
        <v>0</v>
      </c>
    </row>
    <row r="724" spans="1:4" x14ac:dyDescent="0.25">
      <c r="A724" s="4" t="s">
        <v>513</v>
      </c>
      <c r="B724" s="4" t="s">
        <v>217</v>
      </c>
      <c r="C724" s="17" t="str">
        <f t="shared" si="11"/>
        <v>5002</v>
      </c>
      <c r="D724" s="12">
        <v>0</v>
      </c>
    </row>
    <row r="725" spans="1:4" x14ac:dyDescent="0.25">
      <c r="A725" s="4" t="s">
        <v>514</v>
      </c>
      <c r="B725" s="4" t="s">
        <v>217</v>
      </c>
      <c r="C725" s="17" t="str">
        <f t="shared" si="11"/>
        <v>5002</v>
      </c>
      <c r="D725" s="12">
        <v>0</v>
      </c>
    </row>
    <row r="726" spans="1:4" x14ac:dyDescent="0.25">
      <c r="A726" s="4" t="s">
        <v>515</v>
      </c>
      <c r="B726" s="4" t="s">
        <v>217</v>
      </c>
      <c r="C726" s="17" t="str">
        <f t="shared" si="11"/>
        <v>5002</v>
      </c>
      <c r="D726" s="12">
        <v>0</v>
      </c>
    </row>
    <row r="727" spans="1:4" x14ac:dyDescent="0.25">
      <c r="A727" s="4" t="s">
        <v>516</v>
      </c>
      <c r="B727" s="4" t="s">
        <v>217</v>
      </c>
      <c r="C727" s="17" t="str">
        <f t="shared" si="11"/>
        <v>5002</v>
      </c>
      <c r="D727" s="12">
        <v>0</v>
      </c>
    </row>
    <row r="728" spans="1:4" x14ac:dyDescent="0.25">
      <c r="A728" s="4" t="s">
        <v>517</v>
      </c>
      <c r="B728" s="4" t="s">
        <v>217</v>
      </c>
      <c r="C728" s="17" t="str">
        <f t="shared" si="11"/>
        <v>5002</v>
      </c>
      <c r="D728" s="12">
        <v>0</v>
      </c>
    </row>
    <row r="729" spans="1:4" x14ac:dyDescent="0.25">
      <c r="A729" s="4" t="s">
        <v>518</v>
      </c>
      <c r="B729" s="4" t="s">
        <v>217</v>
      </c>
      <c r="C729" s="17" t="str">
        <f t="shared" si="11"/>
        <v>5002</v>
      </c>
      <c r="D729" s="12">
        <v>0</v>
      </c>
    </row>
    <row r="730" spans="1:4" x14ac:dyDescent="0.25">
      <c r="A730" s="4" t="s">
        <v>519</v>
      </c>
      <c r="B730" s="4" t="s">
        <v>217</v>
      </c>
      <c r="C730" s="17" t="str">
        <f t="shared" si="11"/>
        <v>5002</v>
      </c>
      <c r="D730" s="12">
        <v>0</v>
      </c>
    </row>
    <row r="731" spans="1:4" x14ac:dyDescent="0.25">
      <c r="A731" s="4" t="s">
        <v>520</v>
      </c>
      <c r="B731" s="4" t="s">
        <v>217</v>
      </c>
      <c r="C731" s="17" t="str">
        <f t="shared" si="11"/>
        <v>5002</v>
      </c>
      <c r="D731" s="12">
        <v>0</v>
      </c>
    </row>
    <row r="732" spans="1:4" x14ac:dyDescent="0.25">
      <c r="A732" s="4" t="s">
        <v>521</v>
      </c>
      <c r="B732" s="4" t="s">
        <v>217</v>
      </c>
      <c r="C732" s="17" t="str">
        <f t="shared" si="11"/>
        <v>5002</v>
      </c>
      <c r="D732" s="12">
        <v>0</v>
      </c>
    </row>
    <row r="733" spans="1:4" x14ac:dyDescent="0.25">
      <c r="A733" s="4" t="s">
        <v>522</v>
      </c>
      <c r="B733" s="4" t="s">
        <v>217</v>
      </c>
      <c r="C733" s="17" t="str">
        <f t="shared" si="11"/>
        <v>5002</v>
      </c>
      <c r="D733" s="12">
        <v>0</v>
      </c>
    </row>
    <row r="734" spans="1:4" x14ac:dyDescent="0.25">
      <c r="A734" s="20" t="s">
        <v>523</v>
      </c>
      <c r="B734" s="4" t="s">
        <v>157</v>
      </c>
      <c r="C734" s="17" t="str">
        <f t="shared" si="11"/>
        <v>EU</v>
      </c>
      <c r="D734" s="12">
        <v>0</v>
      </c>
    </row>
    <row r="735" spans="1:4" x14ac:dyDescent="0.25">
      <c r="A735" s="4" t="s">
        <v>524</v>
      </c>
      <c r="B735" s="4" t="s">
        <v>157</v>
      </c>
      <c r="C735" s="17" t="str">
        <f t="shared" si="11"/>
        <v>EU</v>
      </c>
      <c r="D735" s="12">
        <v>0</v>
      </c>
    </row>
    <row r="736" spans="1:4" x14ac:dyDescent="0.25">
      <c r="A736" s="4" t="s">
        <v>525</v>
      </c>
      <c r="B736" s="4" t="s">
        <v>157</v>
      </c>
      <c r="C736" s="17" t="str">
        <f t="shared" si="11"/>
        <v>EU</v>
      </c>
      <c r="D736" s="12">
        <v>0</v>
      </c>
    </row>
    <row r="737" spans="1:4" x14ac:dyDescent="0.25">
      <c r="A737" s="4" t="s">
        <v>526</v>
      </c>
      <c r="B737" s="4" t="s">
        <v>157</v>
      </c>
      <c r="C737" s="17" t="str">
        <f t="shared" si="11"/>
        <v>EU</v>
      </c>
      <c r="D737" s="12">
        <v>0</v>
      </c>
    </row>
    <row r="738" spans="1:4" x14ac:dyDescent="0.25">
      <c r="A738" s="4" t="s">
        <v>527</v>
      </c>
      <c r="B738" s="4" t="s">
        <v>157</v>
      </c>
      <c r="C738" s="17" t="str">
        <f t="shared" si="11"/>
        <v>EU</v>
      </c>
      <c r="D738" s="12">
        <v>0</v>
      </c>
    </row>
    <row r="739" spans="1:4" x14ac:dyDescent="0.25">
      <c r="A739" s="4" t="s">
        <v>528</v>
      </c>
      <c r="B739" s="4" t="s">
        <v>157</v>
      </c>
      <c r="C739" s="17" t="str">
        <f t="shared" si="11"/>
        <v>EU</v>
      </c>
      <c r="D739" s="12">
        <v>0</v>
      </c>
    </row>
    <row r="740" spans="1:4" x14ac:dyDescent="0.25">
      <c r="A740" s="4" t="s">
        <v>529</v>
      </c>
      <c r="B740" s="4" t="s">
        <v>157</v>
      </c>
      <c r="C740" s="17" t="str">
        <f t="shared" si="11"/>
        <v>EU</v>
      </c>
      <c r="D740" s="12">
        <v>0</v>
      </c>
    </row>
    <row r="741" spans="1:4" x14ac:dyDescent="0.25">
      <c r="A741" s="4" t="s">
        <v>530</v>
      </c>
      <c r="B741" s="4" t="s">
        <v>157</v>
      </c>
      <c r="C741" s="17" t="str">
        <f t="shared" si="11"/>
        <v>EU</v>
      </c>
      <c r="D741" s="12">
        <v>0</v>
      </c>
    </row>
    <row r="742" spans="1:4" x14ac:dyDescent="0.25">
      <c r="A742" s="4" t="s">
        <v>531</v>
      </c>
      <c r="B742" s="4" t="s">
        <v>157</v>
      </c>
      <c r="C742" s="17" t="str">
        <f t="shared" si="11"/>
        <v>EU</v>
      </c>
      <c r="D742" s="12">
        <v>0</v>
      </c>
    </row>
    <row r="743" spans="1:4" x14ac:dyDescent="0.25">
      <c r="A743" s="4" t="s">
        <v>532</v>
      </c>
      <c r="B743" s="4" t="s">
        <v>157</v>
      </c>
      <c r="C743" s="17" t="str">
        <f t="shared" si="11"/>
        <v>EU</v>
      </c>
      <c r="D743" s="12">
        <v>0</v>
      </c>
    </row>
    <row r="744" spans="1:4" x14ac:dyDescent="0.25">
      <c r="A744" s="4" t="s">
        <v>533</v>
      </c>
      <c r="B744" s="4" t="s">
        <v>157</v>
      </c>
      <c r="C744" s="17" t="str">
        <f t="shared" si="11"/>
        <v>EU</v>
      </c>
      <c r="D744" s="12">
        <v>0</v>
      </c>
    </row>
    <row r="745" spans="1:4" x14ac:dyDescent="0.25">
      <c r="A745" s="4" t="s">
        <v>534</v>
      </c>
      <c r="B745" s="4" t="s">
        <v>157</v>
      </c>
      <c r="C745" s="17" t="str">
        <f t="shared" si="11"/>
        <v>EU</v>
      </c>
      <c r="D745" s="12">
        <v>0</v>
      </c>
    </row>
    <row r="746" spans="1:4" x14ac:dyDescent="0.25">
      <c r="A746" s="4" t="s">
        <v>535</v>
      </c>
      <c r="B746" s="4" t="s">
        <v>157</v>
      </c>
      <c r="C746" s="17" t="str">
        <f t="shared" si="11"/>
        <v>EU</v>
      </c>
      <c r="D746" s="12">
        <v>0</v>
      </c>
    </row>
    <row r="747" spans="1:4" x14ac:dyDescent="0.25">
      <c r="A747" s="4" t="s">
        <v>536</v>
      </c>
      <c r="B747" s="4" t="s">
        <v>157</v>
      </c>
      <c r="C747" s="17" t="str">
        <f t="shared" si="11"/>
        <v>EU</v>
      </c>
      <c r="D747" s="12">
        <v>0</v>
      </c>
    </row>
    <row r="748" spans="1:4" x14ac:dyDescent="0.25">
      <c r="A748" s="4" t="s">
        <v>537</v>
      </c>
      <c r="B748" s="4" t="s">
        <v>157</v>
      </c>
      <c r="C748" s="17" t="str">
        <f t="shared" si="11"/>
        <v>EU</v>
      </c>
      <c r="D748" s="12">
        <v>0</v>
      </c>
    </row>
    <row r="749" spans="1:4" x14ac:dyDescent="0.25">
      <c r="A749" s="4" t="s">
        <v>538</v>
      </c>
      <c r="B749" s="4" t="s">
        <v>157</v>
      </c>
      <c r="C749" s="17" t="str">
        <f t="shared" si="11"/>
        <v>EU</v>
      </c>
      <c r="D749" s="12">
        <v>0</v>
      </c>
    </row>
    <row r="750" spans="1:4" x14ac:dyDescent="0.25">
      <c r="A750" s="4" t="s">
        <v>539</v>
      </c>
      <c r="B750" s="4" t="s">
        <v>157</v>
      </c>
      <c r="C750" s="17" t="str">
        <f t="shared" si="11"/>
        <v>EU</v>
      </c>
      <c r="D750" s="12">
        <v>0</v>
      </c>
    </row>
    <row r="751" spans="1:4" x14ac:dyDescent="0.25">
      <c r="A751" s="20" t="s">
        <v>523</v>
      </c>
      <c r="B751" s="4" t="s">
        <v>158</v>
      </c>
      <c r="C751" s="17" t="str">
        <f t="shared" si="11"/>
        <v>TW</v>
      </c>
      <c r="D751" s="12">
        <v>0</v>
      </c>
    </row>
    <row r="752" spans="1:4" x14ac:dyDescent="0.25">
      <c r="A752" s="4" t="s">
        <v>524</v>
      </c>
      <c r="B752" s="4" t="s">
        <v>158</v>
      </c>
      <c r="C752" s="17" t="str">
        <f t="shared" si="11"/>
        <v>TW</v>
      </c>
      <c r="D752" s="12">
        <v>0</v>
      </c>
    </row>
    <row r="753" spans="1:4" x14ac:dyDescent="0.25">
      <c r="A753" s="4" t="s">
        <v>525</v>
      </c>
      <c r="B753" s="4" t="s">
        <v>158</v>
      </c>
      <c r="C753" s="17" t="str">
        <f t="shared" si="11"/>
        <v>TW</v>
      </c>
      <c r="D753" s="12">
        <v>0</v>
      </c>
    </row>
    <row r="754" spans="1:4" x14ac:dyDescent="0.25">
      <c r="A754" s="4" t="s">
        <v>526</v>
      </c>
      <c r="B754" s="4" t="s">
        <v>158</v>
      </c>
      <c r="C754" s="17" t="str">
        <f t="shared" si="11"/>
        <v>TW</v>
      </c>
      <c r="D754" s="12">
        <v>0</v>
      </c>
    </row>
    <row r="755" spans="1:4" x14ac:dyDescent="0.25">
      <c r="A755" s="4" t="s">
        <v>527</v>
      </c>
      <c r="B755" s="4" t="s">
        <v>158</v>
      </c>
      <c r="C755" s="17" t="str">
        <f t="shared" si="11"/>
        <v>TW</v>
      </c>
      <c r="D755" s="12">
        <v>0</v>
      </c>
    </row>
    <row r="756" spans="1:4" x14ac:dyDescent="0.25">
      <c r="A756" s="4" t="s">
        <v>528</v>
      </c>
      <c r="B756" s="4" t="s">
        <v>158</v>
      </c>
      <c r="C756" s="17" t="str">
        <f t="shared" si="11"/>
        <v>TW</v>
      </c>
      <c r="D756" s="12">
        <v>0</v>
      </c>
    </row>
    <row r="757" spans="1:4" x14ac:dyDescent="0.25">
      <c r="A757" s="4" t="s">
        <v>529</v>
      </c>
      <c r="B757" s="4" t="s">
        <v>158</v>
      </c>
      <c r="C757" s="17" t="str">
        <f t="shared" si="11"/>
        <v>TW</v>
      </c>
      <c r="D757" s="12">
        <v>0</v>
      </c>
    </row>
    <row r="758" spans="1:4" x14ac:dyDescent="0.25">
      <c r="A758" s="4" t="s">
        <v>530</v>
      </c>
      <c r="B758" s="4" t="s">
        <v>158</v>
      </c>
      <c r="C758" s="17" t="str">
        <f t="shared" si="11"/>
        <v>TW</v>
      </c>
      <c r="D758" s="12">
        <v>0</v>
      </c>
    </row>
    <row r="759" spans="1:4" x14ac:dyDescent="0.25">
      <c r="A759" s="4" t="s">
        <v>531</v>
      </c>
      <c r="B759" s="4" t="s">
        <v>158</v>
      </c>
      <c r="C759" s="17" t="str">
        <f t="shared" si="11"/>
        <v>TW</v>
      </c>
      <c r="D759" s="12">
        <v>0</v>
      </c>
    </row>
    <row r="760" spans="1:4" x14ac:dyDescent="0.25">
      <c r="A760" s="4" t="s">
        <v>532</v>
      </c>
      <c r="B760" s="4" t="s">
        <v>158</v>
      </c>
      <c r="C760" s="17" t="str">
        <f t="shared" si="11"/>
        <v>TW</v>
      </c>
      <c r="D760" s="12">
        <v>0</v>
      </c>
    </row>
    <row r="761" spans="1:4" x14ac:dyDescent="0.25">
      <c r="A761" s="4" t="s">
        <v>533</v>
      </c>
      <c r="B761" s="4" t="s">
        <v>158</v>
      </c>
      <c r="C761" s="17" t="str">
        <f t="shared" si="11"/>
        <v>TW</v>
      </c>
      <c r="D761" s="12">
        <v>0</v>
      </c>
    </row>
    <row r="762" spans="1:4" x14ac:dyDescent="0.25">
      <c r="A762" s="4" t="s">
        <v>534</v>
      </c>
      <c r="B762" s="4" t="s">
        <v>158</v>
      </c>
      <c r="C762" s="17" t="str">
        <f t="shared" si="11"/>
        <v>TW</v>
      </c>
      <c r="D762" s="12">
        <v>0</v>
      </c>
    </row>
    <row r="763" spans="1:4" x14ac:dyDescent="0.25">
      <c r="A763" s="4" t="s">
        <v>535</v>
      </c>
      <c r="B763" s="4" t="s">
        <v>158</v>
      </c>
      <c r="C763" s="17" t="str">
        <f t="shared" si="11"/>
        <v>TW</v>
      </c>
      <c r="D763" s="12">
        <v>0</v>
      </c>
    </row>
    <row r="764" spans="1:4" x14ac:dyDescent="0.25">
      <c r="A764" s="4" t="s">
        <v>536</v>
      </c>
      <c r="B764" s="4" t="s">
        <v>158</v>
      </c>
      <c r="C764" s="17" t="str">
        <f t="shared" si="11"/>
        <v>TW</v>
      </c>
      <c r="D764" s="12">
        <v>0</v>
      </c>
    </row>
    <row r="765" spans="1:4" x14ac:dyDescent="0.25">
      <c r="A765" s="4" t="s">
        <v>537</v>
      </c>
      <c r="B765" s="4" t="s">
        <v>158</v>
      </c>
      <c r="C765" s="17" t="str">
        <f t="shared" si="11"/>
        <v>TW</v>
      </c>
      <c r="D765" s="12">
        <v>0</v>
      </c>
    </row>
    <row r="766" spans="1:4" x14ac:dyDescent="0.25">
      <c r="A766" s="4" t="s">
        <v>538</v>
      </c>
      <c r="B766" s="4" t="s">
        <v>158</v>
      </c>
      <c r="C766" s="17" t="str">
        <f t="shared" si="11"/>
        <v>TW</v>
      </c>
      <c r="D766" s="12">
        <v>0</v>
      </c>
    </row>
    <row r="767" spans="1:4" x14ac:dyDescent="0.25">
      <c r="A767" s="4" t="s">
        <v>539</v>
      </c>
      <c r="B767" s="4" t="s">
        <v>158</v>
      </c>
      <c r="C767" s="17" t="str">
        <f t="shared" si="11"/>
        <v>TW</v>
      </c>
      <c r="D767" s="12">
        <v>0</v>
      </c>
    </row>
    <row r="768" spans="1:4" x14ac:dyDescent="0.25">
      <c r="A768" s="20" t="s">
        <v>523</v>
      </c>
      <c r="B768" s="4" t="s">
        <v>244</v>
      </c>
      <c r="C768" s="17" t="str">
        <f t="shared" si="11"/>
        <v>KR</v>
      </c>
      <c r="D768" s="12">
        <v>0</v>
      </c>
    </row>
    <row r="769" spans="1:4" x14ac:dyDescent="0.25">
      <c r="A769" s="4" t="s">
        <v>524</v>
      </c>
      <c r="B769" s="4" t="s">
        <v>244</v>
      </c>
      <c r="C769" s="17" t="str">
        <f t="shared" si="11"/>
        <v>KR</v>
      </c>
      <c r="D769" s="12">
        <v>0</v>
      </c>
    </row>
    <row r="770" spans="1:4" x14ac:dyDescent="0.25">
      <c r="A770" s="4" t="s">
        <v>525</v>
      </c>
      <c r="B770" s="4" t="s">
        <v>244</v>
      </c>
      <c r="C770" s="17" t="str">
        <f t="shared" ref="C770:C833" si="12">VLOOKUP(B770, quota_order_numbers2, 6, FALSE)</f>
        <v>KR</v>
      </c>
      <c r="D770" s="12">
        <v>0</v>
      </c>
    </row>
    <row r="771" spans="1:4" x14ac:dyDescent="0.25">
      <c r="A771" s="4" t="s">
        <v>526</v>
      </c>
      <c r="B771" s="4" t="s">
        <v>244</v>
      </c>
      <c r="C771" s="17" t="str">
        <f t="shared" si="12"/>
        <v>KR</v>
      </c>
      <c r="D771" s="12">
        <v>0</v>
      </c>
    </row>
    <row r="772" spans="1:4" x14ac:dyDescent="0.25">
      <c r="A772" s="4" t="s">
        <v>527</v>
      </c>
      <c r="B772" s="4" t="s">
        <v>244</v>
      </c>
      <c r="C772" s="17" t="str">
        <f t="shared" si="12"/>
        <v>KR</v>
      </c>
      <c r="D772" s="12">
        <v>0</v>
      </c>
    </row>
    <row r="773" spans="1:4" x14ac:dyDescent="0.25">
      <c r="A773" s="4" t="s">
        <v>528</v>
      </c>
      <c r="B773" s="4" t="s">
        <v>244</v>
      </c>
      <c r="C773" s="17" t="str">
        <f t="shared" si="12"/>
        <v>KR</v>
      </c>
      <c r="D773" s="12">
        <v>0</v>
      </c>
    </row>
    <row r="774" spans="1:4" x14ac:dyDescent="0.25">
      <c r="A774" s="4" t="s">
        <v>529</v>
      </c>
      <c r="B774" s="4" t="s">
        <v>244</v>
      </c>
      <c r="C774" s="17" t="str">
        <f t="shared" si="12"/>
        <v>KR</v>
      </c>
      <c r="D774" s="12">
        <v>0</v>
      </c>
    </row>
    <row r="775" spans="1:4" x14ac:dyDescent="0.25">
      <c r="A775" s="4" t="s">
        <v>530</v>
      </c>
      <c r="B775" s="4" t="s">
        <v>244</v>
      </c>
      <c r="C775" s="17" t="str">
        <f t="shared" si="12"/>
        <v>KR</v>
      </c>
      <c r="D775" s="12">
        <v>0</v>
      </c>
    </row>
    <row r="776" spans="1:4" x14ac:dyDescent="0.25">
      <c r="A776" s="4" t="s">
        <v>531</v>
      </c>
      <c r="B776" s="4" t="s">
        <v>244</v>
      </c>
      <c r="C776" s="17" t="str">
        <f t="shared" si="12"/>
        <v>KR</v>
      </c>
      <c r="D776" s="12">
        <v>0</v>
      </c>
    </row>
    <row r="777" spans="1:4" x14ac:dyDescent="0.25">
      <c r="A777" s="4" t="s">
        <v>532</v>
      </c>
      <c r="B777" s="4" t="s">
        <v>244</v>
      </c>
      <c r="C777" s="17" t="str">
        <f t="shared" si="12"/>
        <v>KR</v>
      </c>
      <c r="D777" s="12">
        <v>0</v>
      </c>
    </row>
    <row r="778" spans="1:4" x14ac:dyDescent="0.25">
      <c r="A778" s="4" t="s">
        <v>533</v>
      </c>
      <c r="B778" s="4" t="s">
        <v>244</v>
      </c>
      <c r="C778" s="17" t="str">
        <f t="shared" si="12"/>
        <v>KR</v>
      </c>
      <c r="D778" s="12">
        <v>0</v>
      </c>
    </row>
    <row r="779" spans="1:4" x14ac:dyDescent="0.25">
      <c r="A779" s="4" t="s">
        <v>534</v>
      </c>
      <c r="B779" s="4" t="s">
        <v>244</v>
      </c>
      <c r="C779" s="17" t="str">
        <f t="shared" si="12"/>
        <v>KR</v>
      </c>
      <c r="D779" s="12">
        <v>0</v>
      </c>
    </row>
    <row r="780" spans="1:4" x14ac:dyDescent="0.25">
      <c r="A780" s="4" t="s">
        <v>535</v>
      </c>
      <c r="B780" s="4" t="s">
        <v>244</v>
      </c>
      <c r="C780" s="17" t="str">
        <f t="shared" si="12"/>
        <v>KR</v>
      </c>
      <c r="D780" s="12">
        <v>0</v>
      </c>
    </row>
    <row r="781" spans="1:4" x14ac:dyDescent="0.25">
      <c r="A781" s="4" t="s">
        <v>536</v>
      </c>
      <c r="B781" s="4" t="s">
        <v>244</v>
      </c>
      <c r="C781" s="17" t="str">
        <f t="shared" si="12"/>
        <v>KR</v>
      </c>
      <c r="D781" s="12">
        <v>0</v>
      </c>
    </row>
    <row r="782" spans="1:4" x14ac:dyDescent="0.25">
      <c r="A782" s="4" t="s">
        <v>537</v>
      </c>
      <c r="B782" s="4" t="s">
        <v>244</v>
      </c>
      <c r="C782" s="17" t="str">
        <f t="shared" si="12"/>
        <v>KR</v>
      </c>
      <c r="D782" s="12">
        <v>0</v>
      </c>
    </row>
    <row r="783" spans="1:4" x14ac:dyDescent="0.25">
      <c r="A783" s="4" t="s">
        <v>538</v>
      </c>
      <c r="B783" s="4" t="s">
        <v>244</v>
      </c>
      <c r="C783" s="17" t="str">
        <f t="shared" si="12"/>
        <v>KR</v>
      </c>
      <c r="D783" s="12">
        <v>0</v>
      </c>
    </row>
    <row r="784" spans="1:4" x14ac:dyDescent="0.25">
      <c r="A784" s="4" t="s">
        <v>539</v>
      </c>
      <c r="B784" s="4" t="s">
        <v>244</v>
      </c>
      <c r="C784" s="17" t="str">
        <f t="shared" si="12"/>
        <v>KR</v>
      </c>
      <c r="D784" s="12">
        <v>0</v>
      </c>
    </row>
    <row r="785" spans="1:4" x14ac:dyDescent="0.25">
      <c r="A785" s="20" t="s">
        <v>523</v>
      </c>
      <c r="B785" s="4" t="s">
        <v>243</v>
      </c>
      <c r="C785" s="17" t="str">
        <f t="shared" si="12"/>
        <v>5002</v>
      </c>
      <c r="D785" s="12">
        <v>0</v>
      </c>
    </row>
    <row r="786" spans="1:4" x14ac:dyDescent="0.25">
      <c r="A786" s="4" t="s">
        <v>524</v>
      </c>
      <c r="B786" s="4" t="s">
        <v>243</v>
      </c>
      <c r="C786" s="17" t="str">
        <f t="shared" si="12"/>
        <v>5002</v>
      </c>
      <c r="D786" s="12">
        <v>0</v>
      </c>
    </row>
    <row r="787" spans="1:4" x14ac:dyDescent="0.25">
      <c r="A787" s="4" t="s">
        <v>525</v>
      </c>
      <c r="B787" s="4" t="s">
        <v>243</v>
      </c>
      <c r="C787" s="17" t="str">
        <f t="shared" si="12"/>
        <v>5002</v>
      </c>
      <c r="D787" s="12">
        <v>0</v>
      </c>
    </row>
    <row r="788" spans="1:4" x14ac:dyDescent="0.25">
      <c r="A788" s="4" t="s">
        <v>526</v>
      </c>
      <c r="B788" s="4" t="s">
        <v>243</v>
      </c>
      <c r="C788" s="17" t="str">
        <f t="shared" si="12"/>
        <v>5002</v>
      </c>
      <c r="D788" s="12">
        <v>0</v>
      </c>
    </row>
    <row r="789" spans="1:4" x14ac:dyDescent="0.25">
      <c r="A789" s="4" t="s">
        <v>527</v>
      </c>
      <c r="B789" s="4" t="s">
        <v>243</v>
      </c>
      <c r="C789" s="17" t="str">
        <f t="shared" si="12"/>
        <v>5002</v>
      </c>
      <c r="D789" s="12">
        <v>0</v>
      </c>
    </row>
    <row r="790" spans="1:4" x14ac:dyDescent="0.25">
      <c r="A790" s="4" t="s">
        <v>528</v>
      </c>
      <c r="B790" s="4" t="s">
        <v>243</v>
      </c>
      <c r="C790" s="17" t="str">
        <f t="shared" si="12"/>
        <v>5002</v>
      </c>
      <c r="D790" s="12">
        <v>0</v>
      </c>
    </row>
    <row r="791" spans="1:4" x14ac:dyDescent="0.25">
      <c r="A791" s="4" t="s">
        <v>529</v>
      </c>
      <c r="B791" s="4" t="s">
        <v>243</v>
      </c>
      <c r="C791" s="17" t="str">
        <f t="shared" si="12"/>
        <v>5002</v>
      </c>
      <c r="D791" s="12">
        <v>0</v>
      </c>
    </row>
    <row r="792" spans="1:4" x14ac:dyDescent="0.25">
      <c r="A792" s="4" t="s">
        <v>530</v>
      </c>
      <c r="B792" s="4" t="s">
        <v>243</v>
      </c>
      <c r="C792" s="17" t="str">
        <f t="shared" si="12"/>
        <v>5002</v>
      </c>
      <c r="D792" s="12">
        <v>0</v>
      </c>
    </row>
    <row r="793" spans="1:4" x14ac:dyDescent="0.25">
      <c r="A793" s="4" t="s">
        <v>531</v>
      </c>
      <c r="B793" s="4" t="s">
        <v>243</v>
      </c>
      <c r="C793" s="17" t="str">
        <f t="shared" si="12"/>
        <v>5002</v>
      </c>
      <c r="D793" s="12">
        <v>0</v>
      </c>
    </row>
    <row r="794" spans="1:4" x14ac:dyDescent="0.25">
      <c r="A794" s="4" t="s">
        <v>532</v>
      </c>
      <c r="B794" s="4" t="s">
        <v>243</v>
      </c>
      <c r="C794" s="17" t="str">
        <f t="shared" si="12"/>
        <v>5002</v>
      </c>
      <c r="D794" s="12">
        <v>0</v>
      </c>
    </row>
    <row r="795" spans="1:4" x14ac:dyDescent="0.25">
      <c r="A795" s="4" t="s">
        <v>533</v>
      </c>
      <c r="B795" s="4" t="s">
        <v>243</v>
      </c>
      <c r="C795" s="17" t="str">
        <f t="shared" si="12"/>
        <v>5002</v>
      </c>
      <c r="D795" s="12">
        <v>0</v>
      </c>
    </row>
    <row r="796" spans="1:4" x14ac:dyDescent="0.25">
      <c r="A796" s="4" t="s">
        <v>534</v>
      </c>
      <c r="B796" s="4" t="s">
        <v>243</v>
      </c>
      <c r="C796" s="17" t="str">
        <f t="shared" si="12"/>
        <v>5002</v>
      </c>
      <c r="D796" s="12">
        <v>0</v>
      </c>
    </row>
    <row r="797" spans="1:4" x14ac:dyDescent="0.25">
      <c r="A797" s="4" t="s">
        <v>535</v>
      </c>
      <c r="B797" s="4" t="s">
        <v>243</v>
      </c>
      <c r="C797" s="17" t="str">
        <f t="shared" si="12"/>
        <v>5002</v>
      </c>
      <c r="D797" s="12">
        <v>0</v>
      </c>
    </row>
    <row r="798" spans="1:4" x14ac:dyDescent="0.25">
      <c r="A798" s="4" t="s">
        <v>536</v>
      </c>
      <c r="B798" s="4" t="s">
        <v>243</v>
      </c>
      <c r="C798" s="17" t="str">
        <f t="shared" si="12"/>
        <v>5002</v>
      </c>
      <c r="D798" s="12">
        <v>0</v>
      </c>
    </row>
    <row r="799" spans="1:4" x14ac:dyDescent="0.25">
      <c r="A799" s="4" t="s">
        <v>537</v>
      </c>
      <c r="B799" s="4" t="s">
        <v>243</v>
      </c>
      <c r="C799" s="17" t="str">
        <f t="shared" si="12"/>
        <v>5002</v>
      </c>
      <c r="D799" s="12">
        <v>0</v>
      </c>
    </row>
    <row r="800" spans="1:4" x14ac:dyDescent="0.25">
      <c r="A800" s="4" t="s">
        <v>538</v>
      </c>
      <c r="B800" s="4" t="s">
        <v>243</v>
      </c>
      <c r="C800" s="17" t="str">
        <f t="shared" si="12"/>
        <v>5002</v>
      </c>
      <c r="D800" s="12">
        <v>0</v>
      </c>
    </row>
    <row r="801" spans="1:4" x14ac:dyDescent="0.25">
      <c r="A801" s="4" t="s">
        <v>539</v>
      </c>
      <c r="B801" s="4" t="s">
        <v>243</v>
      </c>
      <c r="C801" s="17" t="str">
        <f t="shared" si="12"/>
        <v>5002</v>
      </c>
      <c r="D801" s="12">
        <v>0</v>
      </c>
    </row>
    <row r="802" spans="1:4" x14ac:dyDescent="0.25">
      <c r="A802" s="20" t="s">
        <v>540</v>
      </c>
      <c r="B802" s="4" t="s">
        <v>169</v>
      </c>
      <c r="C802" s="17" t="str">
        <f t="shared" si="12"/>
        <v>EU</v>
      </c>
      <c r="D802" s="12">
        <v>0</v>
      </c>
    </row>
    <row r="803" spans="1:4" x14ac:dyDescent="0.25">
      <c r="A803" s="4" t="s">
        <v>541</v>
      </c>
      <c r="B803" s="4" t="s">
        <v>169</v>
      </c>
      <c r="C803" s="17" t="str">
        <f t="shared" si="12"/>
        <v>EU</v>
      </c>
      <c r="D803" s="12">
        <v>0</v>
      </c>
    </row>
    <row r="804" spans="1:4" x14ac:dyDescent="0.25">
      <c r="A804" s="4" t="s">
        <v>542</v>
      </c>
      <c r="B804" s="4" t="s">
        <v>169</v>
      </c>
      <c r="C804" s="17" t="str">
        <f t="shared" si="12"/>
        <v>EU</v>
      </c>
      <c r="D804" s="12">
        <v>0</v>
      </c>
    </row>
    <row r="805" spans="1:4" x14ac:dyDescent="0.25">
      <c r="A805" s="4" t="s">
        <v>543</v>
      </c>
      <c r="B805" s="4" t="s">
        <v>169</v>
      </c>
      <c r="C805" s="17" t="str">
        <f t="shared" si="12"/>
        <v>EU</v>
      </c>
      <c r="D805" s="12">
        <v>0</v>
      </c>
    </row>
    <row r="806" spans="1:4" x14ac:dyDescent="0.25">
      <c r="A806" s="4" t="s">
        <v>544</v>
      </c>
      <c r="B806" s="4" t="s">
        <v>169</v>
      </c>
      <c r="C806" s="17" t="str">
        <f t="shared" si="12"/>
        <v>EU</v>
      </c>
      <c r="D806" s="12">
        <v>0</v>
      </c>
    </row>
    <row r="807" spans="1:4" x14ac:dyDescent="0.25">
      <c r="A807" s="4" t="s">
        <v>545</v>
      </c>
      <c r="B807" s="4" t="s">
        <v>169</v>
      </c>
      <c r="C807" s="17" t="str">
        <f t="shared" si="12"/>
        <v>EU</v>
      </c>
      <c r="D807" s="12">
        <v>0</v>
      </c>
    </row>
    <row r="808" spans="1:4" x14ac:dyDescent="0.25">
      <c r="A808" s="4" t="s">
        <v>546</v>
      </c>
      <c r="B808" s="4" t="s">
        <v>169</v>
      </c>
      <c r="C808" s="17" t="str">
        <f t="shared" si="12"/>
        <v>EU</v>
      </c>
      <c r="D808" s="12">
        <v>0</v>
      </c>
    </row>
    <row r="809" spans="1:4" x14ac:dyDescent="0.25">
      <c r="A809" s="4" t="s">
        <v>547</v>
      </c>
      <c r="B809" s="4" t="s">
        <v>169</v>
      </c>
      <c r="C809" s="17" t="str">
        <f t="shared" si="12"/>
        <v>EU</v>
      </c>
      <c r="D809" s="12">
        <v>0</v>
      </c>
    </row>
    <row r="810" spans="1:4" x14ac:dyDescent="0.25">
      <c r="A810" s="4" t="s">
        <v>548</v>
      </c>
      <c r="B810" s="4" t="s">
        <v>169</v>
      </c>
      <c r="C810" s="17" t="str">
        <f t="shared" si="12"/>
        <v>EU</v>
      </c>
      <c r="D810" s="12">
        <v>0</v>
      </c>
    </row>
    <row r="811" spans="1:4" x14ac:dyDescent="0.25">
      <c r="A811" s="4" t="s">
        <v>549</v>
      </c>
      <c r="B811" s="4" t="s">
        <v>169</v>
      </c>
      <c r="C811" s="17" t="str">
        <f t="shared" si="12"/>
        <v>EU</v>
      </c>
      <c r="D811" s="12">
        <v>0</v>
      </c>
    </row>
    <row r="812" spans="1:4" x14ac:dyDescent="0.25">
      <c r="A812" s="4" t="s">
        <v>550</v>
      </c>
      <c r="B812" s="4" t="s">
        <v>169</v>
      </c>
      <c r="C812" s="17" t="str">
        <f t="shared" si="12"/>
        <v>EU</v>
      </c>
      <c r="D812" s="12">
        <v>0</v>
      </c>
    </row>
    <row r="813" spans="1:4" x14ac:dyDescent="0.25">
      <c r="A813" s="4" t="s">
        <v>551</v>
      </c>
      <c r="B813" s="4" t="s">
        <v>169</v>
      </c>
      <c r="C813" s="17" t="str">
        <f t="shared" si="12"/>
        <v>EU</v>
      </c>
      <c r="D813" s="12">
        <v>0</v>
      </c>
    </row>
    <row r="814" spans="1:4" x14ac:dyDescent="0.25">
      <c r="A814" s="4" t="s">
        <v>552</v>
      </c>
      <c r="B814" s="4" t="s">
        <v>169</v>
      </c>
      <c r="C814" s="17" t="str">
        <f t="shared" si="12"/>
        <v>EU</v>
      </c>
      <c r="D814" s="12">
        <v>0</v>
      </c>
    </row>
    <row r="815" spans="1:4" x14ac:dyDescent="0.25">
      <c r="A815" s="4" t="s">
        <v>553</v>
      </c>
      <c r="B815" s="4" t="s">
        <v>169</v>
      </c>
      <c r="C815" s="17" t="str">
        <f t="shared" si="12"/>
        <v>EU</v>
      </c>
      <c r="D815" s="12">
        <v>0</v>
      </c>
    </row>
    <row r="816" spans="1:4" x14ac:dyDescent="0.25">
      <c r="A816" s="4" t="s">
        <v>554</v>
      </c>
      <c r="B816" s="4" t="s">
        <v>169</v>
      </c>
      <c r="C816" s="17" t="str">
        <f t="shared" si="12"/>
        <v>EU</v>
      </c>
      <c r="D816" s="12">
        <v>0</v>
      </c>
    </row>
    <row r="817" spans="1:4" x14ac:dyDescent="0.25">
      <c r="A817" s="4" t="s">
        <v>555</v>
      </c>
      <c r="B817" s="4" t="s">
        <v>169</v>
      </c>
      <c r="C817" s="17" t="str">
        <f t="shared" si="12"/>
        <v>EU</v>
      </c>
      <c r="D817" s="12">
        <v>0</v>
      </c>
    </row>
    <row r="818" spans="1:4" x14ac:dyDescent="0.25">
      <c r="A818" s="4" t="s">
        <v>556</v>
      </c>
      <c r="B818" s="4" t="s">
        <v>169</v>
      </c>
      <c r="C818" s="17" t="str">
        <f t="shared" si="12"/>
        <v>EU</v>
      </c>
      <c r="D818" s="12">
        <v>0</v>
      </c>
    </row>
    <row r="819" spans="1:4" x14ac:dyDescent="0.25">
      <c r="A819" s="4" t="s">
        <v>557</v>
      </c>
      <c r="B819" s="4" t="s">
        <v>169</v>
      </c>
      <c r="C819" s="17" t="str">
        <f t="shared" si="12"/>
        <v>EU</v>
      </c>
      <c r="D819" s="12">
        <v>0</v>
      </c>
    </row>
    <row r="820" spans="1:4" x14ac:dyDescent="0.25">
      <c r="A820" s="4" t="s">
        <v>558</v>
      </c>
      <c r="B820" s="4" t="s">
        <v>169</v>
      </c>
      <c r="C820" s="17" t="str">
        <f t="shared" si="12"/>
        <v>EU</v>
      </c>
      <c r="D820" s="12">
        <v>0</v>
      </c>
    </row>
    <row r="821" spans="1:4" x14ac:dyDescent="0.25">
      <c r="A821" s="4" t="s">
        <v>559</v>
      </c>
      <c r="B821" s="4" t="s">
        <v>169</v>
      </c>
      <c r="C821" s="17" t="str">
        <f t="shared" si="12"/>
        <v>EU</v>
      </c>
      <c r="D821" s="12">
        <v>0</v>
      </c>
    </row>
    <row r="822" spans="1:4" x14ac:dyDescent="0.25">
      <c r="A822" s="4" t="s">
        <v>559</v>
      </c>
      <c r="B822" s="4" t="s">
        <v>169</v>
      </c>
      <c r="C822" s="17" t="str">
        <f t="shared" si="12"/>
        <v>EU</v>
      </c>
      <c r="D822" s="12">
        <v>0</v>
      </c>
    </row>
    <row r="823" spans="1:4" x14ac:dyDescent="0.25">
      <c r="A823" s="4" t="s">
        <v>560</v>
      </c>
      <c r="B823" s="4" t="s">
        <v>169</v>
      </c>
      <c r="C823" s="17" t="str">
        <f t="shared" si="12"/>
        <v>EU</v>
      </c>
      <c r="D823" s="12">
        <v>0</v>
      </c>
    </row>
    <row r="824" spans="1:4" x14ac:dyDescent="0.25">
      <c r="A824" s="4" t="s">
        <v>561</v>
      </c>
      <c r="B824" s="4" t="s">
        <v>169</v>
      </c>
      <c r="C824" s="17" t="str">
        <f t="shared" si="12"/>
        <v>EU</v>
      </c>
      <c r="D824" s="12">
        <v>0</v>
      </c>
    </row>
    <row r="825" spans="1:4" x14ac:dyDescent="0.25">
      <c r="A825" s="4" t="s">
        <v>562</v>
      </c>
      <c r="B825" s="4" t="s">
        <v>169</v>
      </c>
      <c r="C825" s="17" t="str">
        <f t="shared" si="12"/>
        <v>EU</v>
      </c>
      <c r="D825" s="12">
        <v>0</v>
      </c>
    </row>
    <row r="826" spans="1:4" x14ac:dyDescent="0.25">
      <c r="A826" s="4" t="s">
        <v>563</v>
      </c>
      <c r="B826" s="4" t="s">
        <v>169</v>
      </c>
      <c r="C826" s="17" t="str">
        <f t="shared" si="12"/>
        <v>EU</v>
      </c>
      <c r="D826" s="12">
        <v>0</v>
      </c>
    </row>
    <row r="827" spans="1:4" x14ac:dyDescent="0.25">
      <c r="A827" s="4" t="s">
        <v>564</v>
      </c>
      <c r="B827" s="4" t="s">
        <v>169</v>
      </c>
      <c r="C827" s="17" t="str">
        <f t="shared" si="12"/>
        <v>EU</v>
      </c>
      <c r="D827" s="12">
        <v>0</v>
      </c>
    </row>
    <row r="828" spans="1:4" x14ac:dyDescent="0.25">
      <c r="A828" s="4" t="s">
        <v>565</v>
      </c>
      <c r="B828" s="4" t="s">
        <v>169</v>
      </c>
      <c r="C828" s="17" t="str">
        <f t="shared" si="12"/>
        <v>EU</v>
      </c>
      <c r="D828" s="12">
        <v>0</v>
      </c>
    </row>
    <row r="829" spans="1:4" x14ac:dyDescent="0.25">
      <c r="A829" s="4" t="s">
        <v>566</v>
      </c>
      <c r="B829" s="4" t="s">
        <v>169</v>
      </c>
      <c r="C829" s="17" t="str">
        <f t="shared" si="12"/>
        <v>EU</v>
      </c>
      <c r="D829" s="12">
        <v>0</v>
      </c>
    </row>
    <row r="830" spans="1:4" x14ac:dyDescent="0.25">
      <c r="A830" s="4" t="s">
        <v>567</v>
      </c>
      <c r="B830" s="4" t="s">
        <v>169</v>
      </c>
      <c r="C830" s="17" t="str">
        <f t="shared" si="12"/>
        <v>EU</v>
      </c>
      <c r="D830" s="12">
        <v>0</v>
      </c>
    </row>
    <row r="831" spans="1:4" x14ac:dyDescent="0.25">
      <c r="A831" s="4" t="s">
        <v>568</v>
      </c>
      <c r="B831" s="4" t="s">
        <v>169</v>
      </c>
      <c r="C831" s="17" t="str">
        <f t="shared" si="12"/>
        <v>EU</v>
      </c>
      <c r="D831" s="12">
        <v>0</v>
      </c>
    </row>
    <row r="832" spans="1:4" x14ac:dyDescent="0.25">
      <c r="A832" s="4" t="s">
        <v>569</v>
      </c>
      <c r="B832" s="4" t="s">
        <v>169</v>
      </c>
      <c r="C832" s="17" t="str">
        <f t="shared" si="12"/>
        <v>EU</v>
      </c>
      <c r="D832" s="12">
        <v>0</v>
      </c>
    </row>
    <row r="833" spans="1:4" x14ac:dyDescent="0.25">
      <c r="A833" s="4" t="s">
        <v>570</v>
      </c>
      <c r="B833" s="4" t="s">
        <v>169</v>
      </c>
      <c r="C833" s="17" t="str">
        <f t="shared" si="12"/>
        <v>EU</v>
      </c>
      <c r="D833" s="12">
        <v>0</v>
      </c>
    </row>
    <row r="834" spans="1:4" x14ac:dyDescent="0.25">
      <c r="A834" s="4" t="s">
        <v>571</v>
      </c>
      <c r="B834" s="4" t="s">
        <v>169</v>
      </c>
      <c r="C834" s="17" t="str">
        <f t="shared" ref="C834:C897" si="13">VLOOKUP(B834, quota_order_numbers2, 6, FALSE)</f>
        <v>EU</v>
      </c>
      <c r="D834" s="12">
        <v>0</v>
      </c>
    </row>
    <row r="835" spans="1:4" x14ac:dyDescent="0.25">
      <c r="A835" s="4" t="s">
        <v>572</v>
      </c>
      <c r="B835" s="4" t="s">
        <v>169</v>
      </c>
      <c r="C835" s="17" t="str">
        <f t="shared" si="13"/>
        <v>EU</v>
      </c>
      <c r="D835" s="12">
        <v>0</v>
      </c>
    </row>
    <row r="836" spans="1:4" x14ac:dyDescent="0.25">
      <c r="A836" s="4" t="s">
        <v>573</v>
      </c>
      <c r="B836" s="4" t="s">
        <v>169</v>
      </c>
      <c r="C836" s="17" t="str">
        <f t="shared" si="13"/>
        <v>EU</v>
      </c>
      <c r="D836" s="12">
        <v>0</v>
      </c>
    </row>
    <row r="837" spans="1:4" x14ac:dyDescent="0.25">
      <c r="A837" s="4" t="s">
        <v>574</v>
      </c>
      <c r="B837" s="4" t="s">
        <v>169</v>
      </c>
      <c r="C837" s="17" t="str">
        <f t="shared" si="13"/>
        <v>EU</v>
      </c>
      <c r="D837" s="12">
        <v>0</v>
      </c>
    </row>
    <row r="838" spans="1:4" x14ac:dyDescent="0.25">
      <c r="A838" s="4" t="s">
        <v>575</v>
      </c>
      <c r="B838" s="4" t="s">
        <v>169</v>
      </c>
      <c r="C838" s="17" t="str">
        <f t="shared" si="13"/>
        <v>EU</v>
      </c>
      <c r="D838" s="12">
        <v>0</v>
      </c>
    </row>
    <row r="839" spans="1:4" x14ac:dyDescent="0.25">
      <c r="A839" s="4" t="s">
        <v>576</v>
      </c>
      <c r="B839" s="4" t="s">
        <v>169</v>
      </c>
      <c r="C839" s="17" t="str">
        <f t="shared" si="13"/>
        <v>EU</v>
      </c>
      <c r="D839" s="12">
        <v>0</v>
      </c>
    </row>
    <row r="840" spans="1:4" x14ac:dyDescent="0.25">
      <c r="A840" s="20" t="s">
        <v>540</v>
      </c>
      <c r="B840" s="4" t="s">
        <v>307</v>
      </c>
      <c r="C840" s="17" t="str">
        <f t="shared" si="13"/>
        <v>CN</v>
      </c>
      <c r="D840" s="12">
        <v>0</v>
      </c>
    </row>
    <row r="841" spans="1:4" x14ac:dyDescent="0.25">
      <c r="A841" s="4" t="s">
        <v>541</v>
      </c>
      <c r="B841" s="4" t="s">
        <v>307</v>
      </c>
      <c r="C841" s="17" t="str">
        <f t="shared" si="13"/>
        <v>CN</v>
      </c>
      <c r="D841" s="12">
        <v>0</v>
      </c>
    </row>
    <row r="842" spans="1:4" x14ac:dyDescent="0.25">
      <c r="A842" s="4" t="s">
        <v>542</v>
      </c>
      <c r="B842" s="4" t="s">
        <v>307</v>
      </c>
      <c r="C842" s="17" t="str">
        <f t="shared" si="13"/>
        <v>CN</v>
      </c>
      <c r="D842" s="12">
        <v>0</v>
      </c>
    </row>
    <row r="843" spans="1:4" x14ac:dyDescent="0.25">
      <c r="A843" s="4" t="s">
        <v>543</v>
      </c>
      <c r="B843" s="4" t="s">
        <v>307</v>
      </c>
      <c r="C843" s="17" t="str">
        <f t="shared" si="13"/>
        <v>CN</v>
      </c>
      <c r="D843" s="12">
        <v>0</v>
      </c>
    </row>
    <row r="844" spans="1:4" x14ac:dyDescent="0.25">
      <c r="A844" s="4" t="s">
        <v>544</v>
      </c>
      <c r="B844" s="4" t="s">
        <v>307</v>
      </c>
      <c r="C844" s="17" t="str">
        <f t="shared" si="13"/>
        <v>CN</v>
      </c>
      <c r="D844" s="12">
        <v>0</v>
      </c>
    </row>
    <row r="845" spans="1:4" x14ac:dyDescent="0.25">
      <c r="A845" s="4" t="s">
        <v>545</v>
      </c>
      <c r="B845" s="4" t="s">
        <v>307</v>
      </c>
      <c r="C845" s="17" t="str">
        <f t="shared" si="13"/>
        <v>CN</v>
      </c>
      <c r="D845" s="12">
        <v>0</v>
      </c>
    </row>
    <row r="846" spans="1:4" x14ac:dyDescent="0.25">
      <c r="A846" s="4" t="s">
        <v>546</v>
      </c>
      <c r="B846" s="4" t="s">
        <v>307</v>
      </c>
      <c r="C846" s="17" t="str">
        <f t="shared" si="13"/>
        <v>CN</v>
      </c>
      <c r="D846" s="12">
        <v>0</v>
      </c>
    </row>
    <row r="847" spans="1:4" x14ac:dyDescent="0.25">
      <c r="A847" s="4" t="s">
        <v>547</v>
      </c>
      <c r="B847" s="4" t="s">
        <v>307</v>
      </c>
      <c r="C847" s="17" t="str">
        <f t="shared" si="13"/>
        <v>CN</v>
      </c>
      <c r="D847" s="12">
        <v>0</v>
      </c>
    </row>
    <row r="848" spans="1:4" x14ac:dyDescent="0.25">
      <c r="A848" s="4" t="s">
        <v>548</v>
      </c>
      <c r="B848" s="4" t="s">
        <v>307</v>
      </c>
      <c r="C848" s="17" t="str">
        <f t="shared" si="13"/>
        <v>CN</v>
      </c>
      <c r="D848" s="12">
        <v>0</v>
      </c>
    </row>
    <row r="849" spans="1:4" x14ac:dyDescent="0.25">
      <c r="A849" s="4" t="s">
        <v>549</v>
      </c>
      <c r="B849" s="4" t="s">
        <v>307</v>
      </c>
      <c r="C849" s="17" t="str">
        <f t="shared" si="13"/>
        <v>CN</v>
      </c>
      <c r="D849" s="12">
        <v>0</v>
      </c>
    </row>
    <row r="850" spans="1:4" x14ac:dyDescent="0.25">
      <c r="A850" s="4" t="s">
        <v>550</v>
      </c>
      <c r="B850" s="4" t="s">
        <v>307</v>
      </c>
      <c r="C850" s="17" t="str">
        <f t="shared" si="13"/>
        <v>CN</v>
      </c>
      <c r="D850" s="12">
        <v>0</v>
      </c>
    </row>
    <row r="851" spans="1:4" x14ac:dyDescent="0.25">
      <c r="A851" s="4" t="s">
        <v>551</v>
      </c>
      <c r="B851" s="4" t="s">
        <v>307</v>
      </c>
      <c r="C851" s="17" t="str">
        <f t="shared" si="13"/>
        <v>CN</v>
      </c>
      <c r="D851" s="12">
        <v>0</v>
      </c>
    </row>
    <row r="852" spans="1:4" x14ac:dyDescent="0.25">
      <c r="A852" s="4" t="s">
        <v>552</v>
      </c>
      <c r="B852" s="4" t="s">
        <v>307</v>
      </c>
      <c r="C852" s="17" t="str">
        <f t="shared" si="13"/>
        <v>CN</v>
      </c>
      <c r="D852" s="12">
        <v>0</v>
      </c>
    </row>
    <row r="853" spans="1:4" x14ac:dyDescent="0.25">
      <c r="A853" s="4" t="s">
        <v>553</v>
      </c>
      <c r="B853" s="4" t="s">
        <v>307</v>
      </c>
      <c r="C853" s="17" t="str">
        <f t="shared" si="13"/>
        <v>CN</v>
      </c>
      <c r="D853" s="12">
        <v>0</v>
      </c>
    </row>
    <row r="854" spans="1:4" x14ac:dyDescent="0.25">
      <c r="A854" s="4" t="s">
        <v>554</v>
      </c>
      <c r="B854" s="4" t="s">
        <v>307</v>
      </c>
      <c r="C854" s="17" t="str">
        <f t="shared" si="13"/>
        <v>CN</v>
      </c>
      <c r="D854" s="12">
        <v>0</v>
      </c>
    </row>
    <row r="855" spans="1:4" x14ac:dyDescent="0.25">
      <c r="A855" s="4" t="s">
        <v>555</v>
      </c>
      <c r="B855" s="4" t="s">
        <v>307</v>
      </c>
      <c r="C855" s="17" t="str">
        <f t="shared" si="13"/>
        <v>CN</v>
      </c>
      <c r="D855" s="12">
        <v>0</v>
      </c>
    </row>
    <row r="856" spans="1:4" x14ac:dyDescent="0.25">
      <c r="A856" s="4" t="s">
        <v>556</v>
      </c>
      <c r="B856" s="4" t="s">
        <v>307</v>
      </c>
      <c r="C856" s="17" t="str">
        <f t="shared" si="13"/>
        <v>CN</v>
      </c>
      <c r="D856" s="12">
        <v>0</v>
      </c>
    </row>
    <row r="857" spans="1:4" x14ac:dyDescent="0.25">
      <c r="A857" s="4" t="s">
        <v>557</v>
      </c>
      <c r="B857" s="4" t="s">
        <v>307</v>
      </c>
      <c r="C857" s="17" t="str">
        <f t="shared" si="13"/>
        <v>CN</v>
      </c>
      <c r="D857" s="12">
        <v>0</v>
      </c>
    </row>
    <row r="858" spans="1:4" x14ac:dyDescent="0.25">
      <c r="A858" s="4" t="s">
        <v>558</v>
      </c>
      <c r="B858" s="4" t="s">
        <v>307</v>
      </c>
      <c r="C858" s="17" t="str">
        <f t="shared" si="13"/>
        <v>CN</v>
      </c>
      <c r="D858" s="12">
        <v>0</v>
      </c>
    </row>
    <row r="859" spans="1:4" x14ac:dyDescent="0.25">
      <c r="A859" s="4" t="s">
        <v>559</v>
      </c>
      <c r="B859" s="4" t="s">
        <v>307</v>
      </c>
      <c r="C859" s="17" t="str">
        <f t="shared" si="13"/>
        <v>CN</v>
      </c>
      <c r="D859" s="12">
        <v>0</v>
      </c>
    </row>
    <row r="860" spans="1:4" x14ac:dyDescent="0.25">
      <c r="A860" s="4" t="s">
        <v>559</v>
      </c>
      <c r="B860" s="4" t="s">
        <v>307</v>
      </c>
      <c r="C860" s="17" t="str">
        <f t="shared" si="13"/>
        <v>CN</v>
      </c>
      <c r="D860" s="12">
        <v>0</v>
      </c>
    </row>
    <row r="861" spans="1:4" x14ac:dyDescent="0.25">
      <c r="A861" s="4" t="s">
        <v>560</v>
      </c>
      <c r="B861" s="4" t="s">
        <v>307</v>
      </c>
      <c r="C861" s="17" t="str">
        <f t="shared" si="13"/>
        <v>CN</v>
      </c>
      <c r="D861" s="12">
        <v>0</v>
      </c>
    </row>
    <row r="862" spans="1:4" x14ac:dyDescent="0.25">
      <c r="A862" s="4" t="s">
        <v>561</v>
      </c>
      <c r="B862" s="4" t="s">
        <v>307</v>
      </c>
      <c r="C862" s="17" t="str">
        <f t="shared" si="13"/>
        <v>CN</v>
      </c>
      <c r="D862" s="12">
        <v>0</v>
      </c>
    </row>
    <row r="863" spans="1:4" x14ac:dyDescent="0.25">
      <c r="A863" s="4" t="s">
        <v>562</v>
      </c>
      <c r="B863" s="4" t="s">
        <v>307</v>
      </c>
      <c r="C863" s="17" t="str">
        <f t="shared" si="13"/>
        <v>CN</v>
      </c>
      <c r="D863" s="12">
        <v>0</v>
      </c>
    </row>
    <row r="864" spans="1:4" x14ac:dyDescent="0.25">
      <c r="A864" s="4" t="s">
        <v>563</v>
      </c>
      <c r="B864" s="4" t="s">
        <v>307</v>
      </c>
      <c r="C864" s="17" t="str">
        <f t="shared" si="13"/>
        <v>CN</v>
      </c>
      <c r="D864" s="12">
        <v>0</v>
      </c>
    </row>
    <row r="865" spans="1:4" x14ac:dyDescent="0.25">
      <c r="A865" s="4" t="s">
        <v>564</v>
      </c>
      <c r="B865" s="4" t="s">
        <v>307</v>
      </c>
      <c r="C865" s="17" t="str">
        <f t="shared" si="13"/>
        <v>CN</v>
      </c>
      <c r="D865" s="12">
        <v>0</v>
      </c>
    </row>
    <row r="866" spans="1:4" x14ac:dyDescent="0.25">
      <c r="A866" s="4" t="s">
        <v>565</v>
      </c>
      <c r="B866" s="4" t="s">
        <v>307</v>
      </c>
      <c r="C866" s="17" t="str">
        <f t="shared" si="13"/>
        <v>CN</v>
      </c>
      <c r="D866" s="12">
        <v>0</v>
      </c>
    </row>
    <row r="867" spans="1:4" x14ac:dyDescent="0.25">
      <c r="A867" s="4" t="s">
        <v>566</v>
      </c>
      <c r="B867" s="4" t="s">
        <v>307</v>
      </c>
      <c r="C867" s="17" t="str">
        <f t="shared" si="13"/>
        <v>CN</v>
      </c>
      <c r="D867" s="12">
        <v>0</v>
      </c>
    </row>
    <row r="868" spans="1:4" x14ac:dyDescent="0.25">
      <c r="A868" s="4" t="s">
        <v>567</v>
      </c>
      <c r="B868" s="4" t="s">
        <v>307</v>
      </c>
      <c r="C868" s="17" t="str">
        <f t="shared" si="13"/>
        <v>CN</v>
      </c>
      <c r="D868" s="12">
        <v>0</v>
      </c>
    </row>
    <row r="869" spans="1:4" x14ac:dyDescent="0.25">
      <c r="A869" s="4" t="s">
        <v>568</v>
      </c>
      <c r="B869" s="4" t="s">
        <v>307</v>
      </c>
      <c r="C869" s="17" t="str">
        <f t="shared" si="13"/>
        <v>CN</v>
      </c>
      <c r="D869" s="12">
        <v>0</v>
      </c>
    </row>
    <row r="870" spans="1:4" x14ac:dyDescent="0.25">
      <c r="A870" s="4" t="s">
        <v>569</v>
      </c>
      <c r="B870" s="4" t="s">
        <v>307</v>
      </c>
      <c r="C870" s="17" t="str">
        <f t="shared" si="13"/>
        <v>CN</v>
      </c>
      <c r="D870" s="12">
        <v>0</v>
      </c>
    </row>
    <row r="871" spans="1:4" x14ac:dyDescent="0.25">
      <c r="A871" s="4" t="s">
        <v>570</v>
      </c>
      <c r="B871" s="4" t="s">
        <v>307</v>
      </c>
      <c r="C871" s="17" t="str">
        <f t="shared" si="13"/>
        <v>CN</v>
      </c>
      <c r="D871" s="12">
        <v>0</v>
      </c>
    </row>
    <row r="872" spans="1:4" x14ac:dyDescent="0.25">
      <c r="A872" s="4" t="s">
        <v>571</v>
      </c>
      <c r="B872" s="4" t="s">
        <v>307</v>
      </c>
      <c r="C872" s="17" t="str">
        <f t="shared" si="13"/>
        <v>CN</v>
      </c>
      <c r="D872" s="12">
        <v>0</v>
      </c>
    </row>
    <row r="873" spans="1:4" x14ac:dyDescent="0.25">
      <c r="A873" s="4" t="s">
        <v>572</v>
      </c>
      <c r="B873" s="4" t="s">
        <v>307</v>
      </c>
      <c r="C873" s="17" t="str">
        <f t="shared" si="13"/>
        <v>CN</v>
      </c>
      <c r="D873" s="12">
        <v>0</v>
      </c>
    </row>
    <row r="874" spans="1:4" x14ac:dyDescent="0.25">
      <c r="A874" s="4" t="s">
        <v>573</v>
      </c>
      <c r="B874" s="4" t="s">
        <v>307</v>
      </c>
      <c r="C874" s="17" t="str">
        <f t="shared" si="13"/>
        <v>CN</v>
      </c>
      <c r="D874" s="12">
        <v>0</v>
      </c>
    </row>
    <row r="875" spans="1:4" x14ac:dyDescent="0.25">
      <c r="A875" s="4" t="s">
        <v>574</v>
      </c>
      <c r="B875" s="4" t="s">
        <v>307</v>
      </c>
      <c r="C875" s="17" t="str">
        <f t="shared" si="13"/>
        <v>CN</v>
      </c>
      <c r="D875" s="12">
        <v>0</v>
      </c>
    </row>
    <row r="876" spans="1:4" x14ac:dyDescent="0.25">
      <c r="A876" s="4" t="s">
        <v>575</v>
      </c>
      <c r="B876" s="4" t="s">
        <v>307</v>
      </c>
      <c r="C876" s="17" t="str">
        <f t="shared" si="13"/>
        <v>CN</v>
      </c>
      <c r="D876" s="12">
        <v>0</v>
      </c>
    </row>
    <row r="877" spans="1:4" x14ac:dyDescent="0.25">
      <c r="A877" s="4" t="s">
        <v>576</v>
      </c>
      <c r="B877" s="4" t="s">
        <v>307</v>
      </c>
      <c r="C877" s="17" t="str">
        <f t="shared" si="13"/>
        <v>CN</v>
      </c>
      <c r="D877" s="12">
        <v>0</v>
      </c>
    </row>
    <row r="878" spans="1:4" x14ac:dyDescent="0.25">
      <c r="A878" s="20" t="s">
        <v>540</v>
      </c>
      <c r="B878" s="4" t="s">
        <v>309</v>
      </c>
      <c r="C878" s="17" t="str">
        <f t="shared" si="13"/>
        <v>IN</v>
      </c>
      <c r="D878" s="12">
        <v>0</v>
      </c>
    </row>
    <row r="879" spans="1:4" x14ac:dyDescent="0.25">
      <c r="A879" s="4" t="s">
        <v>541</v>
      </c>
      <c r="B879" s="4" t="s">
        <v>309</v>
      </c>
      <c r="C879" s="17" t="str">
        <f t="shared" si="13"/>
        <v>IN</v>
      </c>
      <c r="D879" s="12">
        <v>0</v>
      </c>
    </row>
    <row r="880" spans="1:4" x14ac:dyDescent="0.25">
      <c r="A880" s="4" t="s">
        <v>542</v>
      </c>
      <c r="B880" s="4" t="s">
        <v>309</v>
      </c>
      <c r="C880" s="17" t="str">
        <f t="shared" si="13"/>
        <v>IN</v>
      </c>
      <c r="D880" s="12">
        <v>0</v>
      </c>
    </row>
    <row r="881" spans="1:4" x14ac:dyDescent="0.25">
      <c r="A881" s="4" t="s">
        <v>543</v>
      </c>
      <c r="B881" s="4" t="s">
        <v>309</v>
      </c>
      <c r="C881" s="17" t="str">
        <f t="shared" si="13"/>
        <v>IN</v>
      </c>
      <c r="D881" s="12">
        <v>0</v>
      </c>
    </row>
    <row r="882" spans="1:4" x14ac:dyDescent="0.25">
      <c r="A882" s="4" t="s">
        <v>544</v>
      </c>
      <c r="B882" s="4" t="s">
        <v>309</v>
      </c>
      <c r="C882" s="17" t="str">
        <f t="shared" si="13"/>
        <v>IN</v>
      </c>
      <c r="D882" s="12">
        <v>0</v>
      </c>
    </row>
    <row r="883" spans="1:4" x14ac:dyDescent="0.25">
      <c r="A883" s="4" t="s">
        <v>545</v>
      </c>
      <c r="B883" s="4" t="s">
        <v>309</v>
      </c>
      <c r="C883" s="17" t="str">
        <f t="shared" si="13"/>
        <v>IN</v>
      </c>
      <c r="D883" s="12">
        <v>0</v>
      </c>
    </row>
    <row r="884" spans="1:4" x14ac:dyDescent="0.25">
      <c r="A884" s="4" t="s">
        <v>546</v>
      </c>
      <c r="B884" s="4" t="s">
        <v>309</v>
      </c>
      <c r="C884" s="17" t="str">
        <f t="shared" si="13"/>
        <v>IN</v>
      </c>
      <c r="D884" s="12">
        <v>0</v>
      </c>
    </row>
    <row r="885" spans="1:4" x14ac:dyDescent="0.25">
      <c r="A885" s="4" t="s">
        <v>547</v>
      </c>
      <c r="B885" s="4" t="s">
        <v>309</v>
      </c>
      <c r="C885" s="17" t="str">
        <f t="shared" si="13"/>
        <v>IN</v>
      </c>
      <c r="D885" s="12">
        <v>0</v>
      </c>
    </row>
    <row r="886" spans="1:4" x14ac:dyDescent="0.25">
      <c r="A886" s="4" t="s">
        <v>548</v>
      </c>
      <c r="B886" s="4" t="s">
        <v>309</v>
      </c>
      <c r="C886" s="17" t="str">
        <f t="shared" si="13"/>
        <v>IN</v>
      </c>
      <c r="D886" s="12">
        <v>0</v>
      </c>
    </row>
    <row r="887" spans="1:4" x14ac:dyDescent="0.25">
      <c r="A887" s="4" t="s">
        <v>549</v>
      </c>
      <c r="B887" s="4" t="s">
        <v>309</v>
      </c>
      <c r="C887" s="17" t="str">
        <f t="shared" si="13"/>
        <v>IN</v>
      </c>
      <c r="D887" s="12">
        <v>0</v>
      </c>
    </row>
    <row r="888" spans="1:4" x14ac:dyDescent="0.25">
      <c r="A888" s="4" t="s">
        <v>550</v>
      </c>
      <c r="B888" s="4" t="s">
        <v>309</v>
      </c>
      <c r="C888" s="17" t="str">
        <f t="shared" si="13"/>
        <v>IN</v>
      </c>
      <c r="D888" s="12">
        <v>0</v>
      </c>
    </row>
    <row r="889" spans="1:4" x14ac:dyDescent="0.25">
      <c r="A889" s="4" t="s">
        <v>551</v>
      </c>
      <c r="B889" s="4" t="s">
        <v>309</v>
      </c>
      <c r="C889" s="17" t="str">
        <f t="shared" si="13"/>
        <v>IN</v>
      </c>
      <c r="D889" s="12">
        <v>0</v>
      </c>
    </row>
    <row r="890" spans="1:4" x14ac:dyDescent="0.25">
      <c r="A890" s="4" t="s">
        <v>552</v>
      </c>
      <c r="B890" s="4" t="s">
        <v>309</v>
      </c>
      <c r="C890" s="17" t="str">
        <f t="shared" si="13"/>
        <v>IN</v>
      </c>
      <c r="D890" s="12">
        <v>0</v>
      </c>
    </row>
    <row r="891" spans="1:4" x14ac:dyDescent="0.25">
      <c r="A891" s="4" t="s">
        <v>553</v>
      </c>
      <c r="B891" s="4" t="s">
        <v>309</v>
      </c>
      <c r="C891" s="17" t="str">
        <f t="shared" si="13"/>
        <v>IN</v>
      </c>
      <c r="D891" s="12">
        <v>0</v>
      </c>
    </row>
    <row r="892" spans="1:4" x14ac:dyDescent="0.25">
      <c r="A892" s="4" t="s">
        <v>554</v>
      </c>
      <c r="B892" s="4" t="s">
        <v>309</v>
      </c>
      <c r="C892" s="17" t="str">
        <f t="shared" si="13"/>
        <v>IN</v>
      </c>
      <c r="D892" s="12">
        <v>0</v>
      </c>
    </row>
    <row r="893" spans="1:4" x14ac:dyDescent="0.25">
      <c r="A893" s="4" t="s">
        <v>555</v>
      </c>
      <c r="B893" s="4" t="s">
        <v>309</v>
      </c>
      <c r="C893" s="17" t="str">
        <f t="shared" si="13"/>
        <v>IN</v>
      </c>
      <c r="D893" s="12">
        <v>0</v>
      </c>
    </row>
    <row r="894" spans="1:4" x14ac:dyDescent="0.25">
      <c r="A894" s="4" t="s">
        <v>556</v>
      </c>
      <c r="B894" s="4" t="s">
        <v>309</v>
      </c>
      <c r="C894" s="17" t="str">
        <f t="shared" si="13"/>
        <v>IN</v>
      </c>
      <c r="D894" s="12">
        <v>0</v>
      </c>
    </row>
    <row r="895" spans="1:4" x14ac:dyDescent="0.25">
      <c r="A895" s="4" t="s">
        <v>557</v>
      </c>
      <c r="B895" s="4" t="s">
        <v>309</v>
      </c>
      <c r="C895" s="17" t="str">
        <f t="shared" si="13"/>
        <v>IN</v>
      </c>
      <c r="D895" s="12">
        <v>0</v>
      </c>
    </row>
    <row r="896" spans="1:4" x14ac:dyDescent="0.25">
      <c r="A896" s="4" t="s">
        <v>558</v>
      </c>
      <c r="B896" s="4" t="s">
        <v>309</v>
      </c>
      <c r="C896" s="17" t="str">
        <f t="shared" si="13"/>
        <v>IN</v>
      </c>
      <c r="D896" s="12">
        <v>0</v>
      </c>
    </row>
    <row r="897" spans="1:4" x14ac:dyDescent="0.25">
      <c r="A897" s="4" t="s">
        <v>559</v>
      </c>
      <c r="B897" s="4" t="s">
        <v>309</v>
      </c>
      <c r="C897" s="17" t="str">
        <f t="shared" si="13"/>
        <v>IN</v>
      </c>
      <c r="D897" s="12">
        <v>0</v>
      </c>
    </row>
    <row r="898" spans="1:4" x14ac:dyDescent="0.25">
      <c r="A898" s="4" t="s">
        <v>559</v>
      </c>
      <c r="B898" s="4" t="s">
        <v>309</v>
      </c>
      <c r="C898" s="17" t="str">
        <f t="shared" ref="C898:C961" si="14">VLOOKUP(B898, quota_order_numbers2, 6, FALSE)</f>
        <v>IN</v>
      </c>
      <c r="D898" s="12">
        <v>0</v>
      </c>
    </row>
    <row r="899" spans="1:4" x14ac:dyDescent="0.25">
      <c r="A899" s="4" t="s">
        <v>560</v>
      </c>
      <c r="B899" s="4" t="s">
        <v>309</v>
      </c>
      <c r="C899" s="17" t="str">
        <f t="shared" si="14"/>
        <v>IN</v>
      </c>
      <c r="D899" s="12">
        <v>0</v>
      </c>
    </row>
    <row r="900" spans="1:4" x14ac:dyDescent="0.25">
      <c r="A900" s="4" t="s">
        <v>561</v>
      </c>
      <c r="B900" s="4" t="s">
        <v>309</v>
      </c>
      <c r="C900" s="17" t="str">
        <f t="shared" si="14"/>
        <v>IN</v>
      </c>
      <c r="D900" s="12">
        <v>0</v>
      </c>
    </row>
    <row r="901" spans="1:4" x14ac:dyDescent="0.25">
      <c r="A901" s="4" t="s">
        <v>562</v>
      </c>
      <c r="B901" s="4" t="s">
        <v>309</v>
      </c>
      <c r="C901" s="17" t="str">
        <f t="shared" si="14"/>
        <v>IN</v>
      </c>
      <c r="D901" s="12">
        <v>0</v>
      </c>
    </row>
    <row r="902" spans="1:4" x14ac:dyDescent="0.25">
      <c r="A902" s="4" t="s">
        <v>563</v>
      </c>
      <c r="B902" s="4" t="s">
        <v>309</v>
      </c>
      <c r="C902" s="17" t="str">
        <f t="shared" si="14"/>
        <v>IN</v>
      </c>
      <c r="D902" s="12">
        <v>0</v>
      </c>
    </row>
    <row r="903" spans="1:4" x14ac:dyDescent="0.25">
      <c r="A903" s="4" t="s">
        <v>564</v>
      </c>
      <c r="B903" s="4" t="s">
        <v>309</v>
      </c>
      <c r="C903" s="17" t="str">
        <f t="shared" si="14"/>
        <v>IN</v>
      </c>
      <c r="D903" s="12">
        <v>0</v>
      </c>
    </row>
    <row r="904" spans="1:4" x14ac:dyDescent="0.25">
      <c r="A904" s="4" t="s">
        <v>565</v>
      </c>
      <c r="B904" s="4" t="s">
        <v>309</v>
      </c>
      <c r="C904" s="17" t="str">
        <f t="shared" si="14"/>
        <v>IN</v>
      </c>
      <c r="D904" s="12">
        <v>0</v>
      </c>
    </row>
    <row r="905" spans="1:4" x14ac:dyDescent="0.25">
      <c r="A905" s="4" t="s">
        <v>566</v>
      </c>
      <c r="B905" s="4" t="s">
        <v>309</v>
      </c>
      <c r="C905" s="17" t="str">
        <f t="shared" si="14"/>
        <v>IN</v>
      </c>
      <c r="D905" s="12">
        <v>0</v>
      </c>
    </row>
    <row r="906" spans="1:4" x14ac:dyDescent="0.25">
      <c r="A906" s="4" t="s">
        <v>567</v>
      </c>
      <c r="B906" s="4" t="s">
        <v>309</v>
      </c>
      <c r="C906" s="17" t="str">
        <f t="shared" si="14"/>
        <v>IN</v>
      </c>
      <c r="D906" s="12">
        <v>0</v>
      </c>
    </row>
    <row r="907" spans="1:4" x14ac:dyDescent="0.25">
      <c r="A907" s="4" t="s">
        <v>568</v>
      </c>
      <c r="B907" s="4" t="s">
        <v>309</v>
      </c>
      <c r="C907" s="17" t="str">
        <f t="shared" si="14"/>
        <v>IN</v>
      </c>
      <c r="D907" s="12">
        <v>0</v>
      </c>
    </row>
    <row r="908" spans="1:4" x14ac:dyDescent="0.25">
      <c r="A908" s="4" t="s">
        <v>569</v>
      </c>
      <c r="B908" s="4" t="s">
        <v>309</v>
      </c>
      <c r="C908" s="17" t="str">
        <f t="shared" si="14"/>
        <v>IN</v>
      </c>
      <c r="D908" s="12">
        <v>0</v>
      </c>
    </row>
    <row r="909" spans="1:4" x14ac:dyDescent="0.25">
      <c r="A909" s="4" t="s">
        <v>570</v>
      </c>
      <c r="B909" s="4" t="s">
        <v>309</v>
      </c>
      <c r="C909" s="17" t="str">
        <f t="shared" si="14"/>
        <v>IN</v>
      </c>
      <c r="D909" s="12">
        <v>0</v>
      </c>
    </row>
    <row r="910" spans="1:4" x14ac:dyDescent="0.25">
      <c r="A910" s="4" t="s">
        <v>571</v>
      </c>
      <c r="B910" s="4" t="s">
        <v>309</v>
      </c>
      <c r="C910" s="17" t="str">
        <f t="shared" si="14"/>
        <v>IN</v>
      </c>
      <c r="D910" s="12">
        <v>0</v>
      </c>
    </row>
    <row r="911" spans="1:4" x14ac:dyDescent="0.25">
      <c r="A911" s="4" t="s">
        <v>572</v>
      </c>
      <c r="B911" s="4" t="s">
        <v>309</v>
      </c>
      <c r="C911" s="17" t="str">
        <f t="shared" si="14"/>
        <v>IN</v>
      </c>
      <c r="D911" s="12">
        <v>0</v>
      </c>
    </row>
    <row r="912" spans="1:4" x14ac:dyDescent="0.25">
      <c r="A912" s="4" t="s">
        <v>573</v>
      </c>
      <c r="B912" s="4" t="s">
        <v>309</v>
      </c>
      <c r="C912" s="17" t="str">
        <f t="shared" si="14"/>
        <v>IN</v>
      </c>
      <c r="D912" s="12">
        <v>0</v>
      </c>
    </row>
    <row r="913" spans="1:4" x14ac:dyDescent="0.25">
      <c r="A913" s="4" t="s">
        <v>574</v>
      </c>
      <c r="B913" s="4" t="s">
        <v>309</v>
      </c>
      <c r="C913" s="17" t="str">
        <f t="shared" si="14"/>
        <v>IN</v>
      </c>
      <c r="D913" s="12">
        <v>0</v>
      </c>
    </row>
    <row r="914" spans="1:4" x14ac:dyDescent="0.25">
      <c r="A914" s="4" t="s">
        <v>575</v>
      </c>
      <c r="B914" s="4" t="s">
        <v>309</v>
      </c>
      <c r="C914" s="17" t="str">
        <f t="shared" si="14"/>
        <v>IN</v>
      </c>
      <c r="D914" s="12">
        <v>0</v>
      </c>
    </row>
    <row r="915" spans="1:4" x14ac:dyDescent="0.25">
      <c r="A915" s="4" t="s">
        <v>576</v>
      </c>
      <c r="B915" s="4" t="s">
        <v>309</v>
      </c>
      <c r="C915" s="17" t="str">
        <f t="shared" si="14"/>
        <v>IN</v>
      </c>
      <c r="D915" s="12">
        <v>0</v>
      </c>
    </row>
    <row r="916" spans="1:4" x14ac:dyDescent="0.25">
      <c r="A916" s="20" t="s">
        <v>540</v>
      </c>
      <c r="B916" s="4" t="s">
        <v>170</v>
      </c>
      <c r="C916" s="17" t="str">
        <f t="shared" si="14"/>
        <v>TR</v>
      </c>
      <c r="D916" s="12">
        <v>0</v>
      </c>
    </row>
    <row r="917" spans="1:4" x14ac:dyDescent="0.25">
      <c r="A917" s="4" t="s">
        <v>541</v>
      </c>
      <c r="B917" s="4" t="s">
        <v>170</v>
      </c>
      <c r="C917" s="17" t="str">
        <f t="shared" si="14"/>
        <v>TR</v>
      </c>
      <c r="D917" s="12">
        <v>0</v>
      </c>
    </row>
    <row r="918" spans="1:4" x14ac:dyDescent="0.25">
      <c r="A918" s="4" t="s">
        <v>542</v>
      </c>
      <c r="B918" s="4" t="s">
        <v>170</v>
      </c>
      <c r="C918" s="17" t="str">
        <f t="shared" si="14"/>
        <v>TR</v>
      </c>
      <c r="D918" s="12">
        <v>0</v>
      </c>
    </row>
    <row r="919" spans="1:4" x14ac:dyDescent="0.25">
      <c r="A919" s="4" t="s">
        <v>543</v>
      </c>
      <c r="B919" s="4" t="s">
        <v>170</v>
      </c>
      <c r="C919" s="17" t="str">
        <f t="shared" si="14"/>
        <v>TR</v>
      </c>
      <c r="D919" s="12">
        <v>0</v>
      </c>
    </row>
    <row r="920" spans="1:4" x14ac:dyDescent="0.25">
      <c r="A920" s="4" t="s">
        <v>544</v>
      </c>
      <c r="B920" s="4" t="s">
        <v>170</v>
      </c>
      <c r="C920" s="17" t="str">
        <f t="shared" si="14"/>
        <v>TR</v>
      </c>
      <c r="D920" s="12">
        <v>0</v>
      </c>
    </row>
    <row r="921" spans="1:4" x14ac:dyDescent="0.25">
      <c r="A921" s="4" t="s">
        <v>545</v>
      </c>
      <c r="B921" s="4" t="s">
        <v>170</v>
      </c>
      <c r="C921" s="17" t="str">
        <f t="shared" si="14"/>
        <v>TR</v>
      </c>
      <c r="D921" s="12">
        <v>0</v>
      </c>
    </row>
    <row r="922" spans="1:4" x14ac:dyDescent="0.25">
      <c r="A922" s="4" t="s">
        <v>546</v>
      </c>
      <c r="B922" s="4" t="s">
        <v>170</v>
      </c>
      <c r="C922" s="17" t="str">
        <f t="shared" si="14"/>
        <v>TR</v>
      </c>
      <c r="D922" s="12">
        <v>0</v>
      </c>
    </row>
    <row r="923" spans="1:4" x14ac:dyDescent="0.25">
      <c r="A923" s="4" t="s">
        <v>547</v>
      </c>
      <c r="B923" s="4" t="s">
        <v>170</v>
      </c>
      <c r="C923" s="17" t="str">
        <f t="shared" si="14"/>
        <v>TR</v>
      </c>
      <c r="D923" s="12">
        <v>0</v>
      </c>
    </row>
    <row r="924" spans="1:4" x14ac:dyDescent="0.25">
      <c r="A924" s="4" t="s">
        <v>548</v>
      </c>
      <c r="B924" s="4" t="s">
        <v>170</v>
      </c>
      <c r="C924" s="17" t="str">
        <f t="shared" si="14"/>
        <v>TR</v>
      </c>
      <c r="D924" s="12">
        <v>0</v>
      </c>
    </row>
    <row r="925" spans="1:4" x14ac:dyDescent="0.25">
      <c r="A925" s="4" t="s">
        <v>549</v>
      </c>
      <c r="B925" s="4" t="s">
        <v>170</v>
      </c>
      <c r="C925" s="17" t="str">
        <f t="shared" si="14"/>
        <v>TR</v>
      </c>
      <c r="D925" s="12">
        <v>0</v>
      </c>
    </row>
    <row r="926" spans="1:4" x14ac:dyDescent="0.25">
      <c r="A926" s="4" t="s">
        <v>550</v>
      </c>
      <c r="B926" s="4" t="s">
        <v>170</v>
      </c>
      <c r="C926" s="17" t="str">
        <f t="shared" si="14"/>
        <v>TR</v>
      </c>
      <c r="D926" s="12">
        <v>0</v>
      </c>
    </row>
    <row r="927" spans="1:4" x14ac:dyDescent="0.25">
      <c r="A927" s="4" t="s">
        <v>551</v>
      </c>
      <c r="B927" s="4" t="s">
        <v>170</v>
      </c>
      <c r="C927" s="17" t="str">
        <f t="shared" si="14"/>
        <v>TR</v>
      </c>
      <c r="D927" s="12">
        <v>0</v>
      </c>
    </row>
    <row r="928" spans="1:4" x14ac:dyDescent="0.25">
      <c r="A928" s="4" t="s">
        <v>552</v>
      </c>
      <c r="B928" s="4" t="s">
        <v>170</v>
      </c>
      <c r="C928" s="17" t="str">
        <f t="shared" si="14"/>
        <v>TR</v>
      </c>
      <c r="D928" s="12">
        <v>0</v>
      </c>
    </row>
    <row r="929" spans="1:4" x14ac:dyDescent="0.25">
      <c r="A929" s="4" t="s">
        <v>553</v>
      </c>
      <c r="B929" s="4" t="s">
        <v>170</v>
      </c>
      <c r="C929" s="17" t="str">
        <f t="shared" si="14"/>
        <v>TR</v>
      </c>
      <c r="D929" s="12">
        <v>0</v>
      </c>
    </row>
    <row r="930" spans="1:4" x14ac:dyDescent="0.25">
      <c r="A930" s="4" t="s">
        <v>554</v>
      </c>
      <c r="B930" s="4" t="s">
        <v>170</v>
      </c>
      <c r="C930" s="17" t="str">
        <f t="shared" si="14"/>
        <v>TR</v>
      </c>
      <c r="D930" s="12">
        <v>0</v>
      </c>
    </row>
    <row r="931" spans="1:4" x14ac:dyDescent="0.25">
      <c r="A931" s="4" t="s">
        <v>555</v>
      </c>
      <c r="B931" s="4" t="s">
        <v>170</v>
      </c>
      <c r="C931" s="17" t="str">
        <f t="shared" si="14"/>
        <v>TR</v>
      </c>
      <c r="D931" s="12">
        <v>0</v>
      </c>
    </row>
    <row r="932" spans="1:4" x14ac:dyDescent="0.25">
      <c r="A932" s="4" t="s">
        <v>556</v>
      </c>
      <c r="B932" s="4" t="s">
        <v>170</v>
      </c>
      <c r="C932" s="17" t="str">
        <f t="shared" si="14"/>
        <v>TR</v>
      </c>
      <c r="D932" s="12">
        <v>0</v>
      </c>
    </row>
    <row r="933" spans="1:4" x14ac:dyDescent="0.25">
      <c r="A933" s="4" t="s">
        <v>557</v>
      </c>
      <c r="B933" s="4" t="s">
        <v>170</v>
      </c>
      <c r="C933" s="17" t="str">
        <f t="shared" si="14"/>
        <v>TR</v>
      </c>
      <c r="D933" s="12">
        <v>0</v>
      </c>
    </row>
    <row r="934" spans="1:4" x14ac:dyDescent="0.25">
      <c r="A934" s="4" t="s">
        <v>558</v>
      </c>
      <c r="B934" s="4" t="s">
        <v>170</v>
      </c>
      <c r="C934" s="17" t="str">
        <f t="shared" si="14"/>
        <v>TR</v>
      </c>
      <c r="D934" s="12">
        <v>0</v>
      </c>
    </row>
    <row r="935" spans="1:4" x14ac:dyDescent="0.25">
      <c r="A935" s="4" t="s">
        <v>559</v>
      </c>
      <c r="B935" s="4" t="s">
        <v>170</v>
      </c>
      <c r="C935" s="17" t="str">
        <f t="shared" si="14"/>
        <v>TR</v>
      </c>
      <c r="D935" s="12">
        <v>0</v>
      </c>
    </row>
    <row r="936" spans="1:4" x14ac:dyDescent="0.25">
      <c r="A936" s="4" t="s">
        <v>559</v>
      </c>
      <c r="B936" s="4" t="s">
        <v>170</v>
      </c>
      <c r="C936" s="17" t="str">
        <f t="shared" si="14"/>
        <v>TR</v>
      </c>
      <c r="D936" s="12">
        <v>0</v>
      </c>
    </row>
    <row r="937" spans="1:4" x14ac:dyDescent="0.25">
      <c r="A937" s="4" t="s">
        <v>560</v>
      </c>
      <c r="B937" s="4" t="s">
        <v>170</v>
      </c>
      <c r="C937" s="17" t="str">
        <f t="shared" si="14"/>
        <v>TR</v>
      </c>
      <c r="D937" s="12">
        <v>0</v>
      </c>
    </row>
    <row r="938" spans="1:4" x14ac:dyDescent="0.25">
      <c r="A938" s="4" t="s">
        <v>561</v>
      </c>
      <c r="B938" s="4" t="s">
        <v>170</v>
      </c>
      <c r="C938" s="17" t="str">
        <f t="shared" si="14"/>
        <v>TR</v>
      </c>
      <c r="D938" s="12">
        <v>0</v>
      </c>
    </row>
    <row r="939" spans="1:4" x14ac:dyDescent="0.25">
      <c r="A939" s="4" t="s">
        <v>562</v>
      </c>
      <c r="B939" s="4" t="s">
        <v>170</v>
      </c>
      <c r="C939" s="17" t="str">
        <f t="shared" si="14"/>
        <v>TR</v>
      </c>
      <c r="D939" s="12">
        <v>0</v>
      </c>
    </row>
    <row r="940" spans="1:4" x14ac:dyDescent="0.25">
      <c r="A940" s="4" t="s">
        <v>563</v>
      </c>
      <c r="B940" s="4" t="s">
        <v>170</v>
      </c>
      <c r="C940" s="17" t="str">
        <f t="shared" si="14"/>
        <v>TR</v>
      </c>
      <c r="D940" s="12">
        <v>0</v>
      </c>
    </row>
    <row r="941" spans="1:4" x14ac:dyDescent="0.25">
      <c r="A941" s="4" t="s">
        <v>564</v>
      </c>
      <c r="B941" s="4" t="s">
        <v>170</v>
      </c>
      <c r="C941" s="17" t="str">
        <f t="shared" si="14"/>
        <v>TR</v>
      </c>
      <c r="D941" s="12">
        <v>0</v>
      </c>
    </row>
    <row r="942" spans="1:4" x14ac:dyDescent="0.25">
      <c r="A942" s="4" t="s">
        <v>565</v>
      </c>
      <c r="B942" s="4" t="s">
        <v>170</v>
      </c>
      <c r="C942" s="17" t="str">
        <f t="shared" si="14"/>
        <v>TR</v>
      </c>
      <c r="D942" s="12">
        <v>0</v>
      </c>
    </row>
    <row r="943" spans="1:4" x14ac:dyDescent="0.25">
      <c r="A943" s="4" t="s">
        <v>566</v>
      </c>
      <c r="B943" s="4" t="s">
        <v>170</v>
      </c>
      <c r="C943" s="17" t="str">
        <f t="shared" si="14"/>
        <v>TR</v>
      </c>
      <c r="D943" s="12">
        <v>0</v>
      </c>
    </row>
    <row r="944" spans="1:4" x14ac:dyDescent="0.25">
      <c r="A944" s="4" t="s">
        <v>567</v>
      </c>
      <c r="B944" s="4" t="s">
        <v>170</v>
      </c>
      <c r="C944" s="17" t="str">
        <f t="shared" si="14"/>
        <v>TR</v>
      </c>
      <c r="D944" s="12">
        <v>0</v>
      </c>
    </row>
    <row r="945" spans="1:4" x14ac:dyDescent="0.25">
      <c r="A945" s="4" t="s">
        <v>568</v>
      </c>
      <c r="B945" s="4" t="s">
        <v>170</v>
      </c>
      <c r="C945" s="17" t="str">
        <f t="shared" si="14"/>
        <v>TR</v>
      </c>
      <c r="D945" s="12">
        <v>0</v>
      </c>
    </row>
    <row r="946" spans="1:4" x14ac:dyDescent="0.25">
      <c r="A946" s="4" t="s">
        <v>569</v>
      </c>
      <c r="B946" s="4" t="s">
        <v>170</v>
      </c>
      <c r="C946" s="17" t="str">
        <f t="shared" si="14"/>
        <v>TR</v>
      </c>
      <c r="D946" s="12">
        <v>0</v>
      </c>
    </row>
    <row r="947" spans="1:4" x14ac:dyDescent="0.25">
      <c r="A947" s="4" t="s">
        <v>570</v>
      </c>
      <c r="B947" s="4" t="s">
        <v>170</v>
      </c>
      <c r="C947" s="17" t="str">
        <f t="shared" si="14"/>
        <v>TR</v>
      </c>
      <c r="D947" s="12">
        <v>0</v>
      </c>
    </row>
    <row r="948" spans="1:4" x14ac:dyDescent="0.25">
      <c r="A948" s="4" t="s">
        <v>571</v>
      </c>
      <c r="B948" s="4" t="s">
        <v>170</v>
      </c>
      <c r="C948" s="17" t="str">
        <f t="shared" si="14"/>
        <v>TR</v>
      </c>
      <c r="D948" s="12">
        <v>0</v>
      </c>
    </row>
    <row r="949" spans="1:4" x14ac:dyDescent="0.25">
      <c r="A949" s="4" t="s">
        <v>572</v>
      </c>
      <c r="B949" s="4" t="s">
        <v>170</v>
      </c>
      <c r="C949" s="17" t="str">
        <f t="shared" si="14"/>
        <v>TR</v>
      </c>
      <c r="D949" s="12">
        <v>0</v>
      </c>
    </row>
    <row r="950" spans="1:4" x14ac:dyDescent="0.25">
      <c r="A950" s="4" t="s">
        <v>573</v>
      </c>
      <c r="B950" s="4" t="s">
        <v>170</v>
      </c>
      <c r="C950" s="17" t="str">
        <f t="shared" si="14"/>
        <v>TR</v>
      </c>
      <c r="D950" s="12">
        <v>0</v>
      </c>
    </row>
    <row r="951" spans="1:4" x14ac:dyDescent="0.25">
      <c r="A951" s="4" t="s">
        <v>574</v>
      </c>
      <c r="B951" s="4" t="s">
        <v>170</v>
      </c>
      <c r="C951" s="17" t="str">
        <f t="shared" si="14"/>
        <v>TR</v>
      </c>
      <c r="D951" s="12">
        <v>0</v>
      </c>
    </row>
    <row r="952" spans="1:4" x14ac:dyDescent="0.25">
      <c r="A952" s="4" t="s">
        <v>575</v>
      </c>
      <c r="B952" s="4" t="s">
        <v>170</v>
      </c>
      <c r="C952" s="17" t="str">
        <f t="shared" si="14"/>
        <v>TR</v>
      </c>
      <c r="D952" s="12">
        <v>0</v>
      </c>
    </row>
    <row r="953" spans="1:4" x14ac:dyDescent="0.25">
      <c r="A953" s="4" t="s">
        <v>576</v>
      </c>
      <c r="B953" s="4" t="s">
        <v>170</v>
      </c>
      <c r="C953" s="17" t="str">
        <f t="shared" si="14"/>
        <v>TR</v>
      </c>
      <c r="D953" s="12">
        <v>0</v>
      </c>
    </row>
    <row r="954" spans="1:4" x14ac:dyDescent="0.25">
      <c r="A954" s="20" t="s">
        <v>540</v>
      </c>
      <c r="B954" s="4" t="s">
        <v>308</v>
      </c>
      <c r="C954" s="17" t="str">
        <f t="shared" si="14"/>
        <v>KR</v>
      </c>
      <c r="D954" s="12">
        <v>0</v>
      </c>
    </row>
    <row r="955" spans="1:4" x14ac:dyDescent="0.25">
      <c r="A955" s="4" t="s">
        <v>541</v>
      </c>
      <c r="B955" s="4" t="s">
        <v>308</v>
      </c>
      <c r="C955" s="17" t="str">
        <f t="shared" si="14"/>
        <v>KR</v>
      </c>
      <c r="D955" s="12">
        <v>0</v>
      </c>
    </row>
    <row r="956" spans="1:4" x14ac:dyDescent="0.25">
      <c r="A956" s="4" t="s">
        <v>542</v>
      </c>
      <c r="B956" s="4" t="s">
        <v>308</v>
      </c>
      <c r="C956" s="17" t="str">
        <f t="shared" si="14"/>
        <v>KR</v>
      </c>
      <c r="D956" s="12">
        <v>0</v>
      </c>
    </row>
    <row r="957" spans="1:4" x14ac:dyDescent="0.25">
      <c r="A957" s="4" t="s">
        <v>543</v>
      </c>
      <c r="B957" s="4" t="s">
        <v>308</v>
      </c>
      <c r="C957" s="17" t="str">
        <f t="shared" si="14"/>
        <v>KR</v>
      </c>
      <c r="D957" s="12">
        <v>0</v>
      </c>
    </row>
    <row r="958" spans="1:4" x14ac:dyDescent="0.25">
      <c r="A958" s="4" t="s">
        <v>544</v>
      </c>
      <c r="B958" s="4" t="s">
        <v>308</v>
      </c>
      <c r="C958" s="17" t="str">
        <f t="shared" si="14"/>
        <v>KR</v>
      </c>
      <c r="D958" s="12">
        <v>0</v>
      </c>
    </row>
    <row r="959" spans="1:4" x14ac:dyDescent="0.25">
      <c r="A959" s="4" t="s">
        <v>545</v>
      </c>
      <c r="B959" s="4" t="s">
        <v>308</v>
      </c>
      <c r="C959" s="17" t="str">
        <f t="shared" si="14"/>
        <v>KR</v>
      </c>
      <c r="D959" s="12">
        <v>0</v>
      </c>
    </row>
    <row r="960" spans="1:4" x14ac:dyDescent="0.25">
      <c r="A960" s="4" t="s">
        <v>546</v>
      </c>
      <c r="B960" s="4" t="s">
        <v>308</v>
      </c>
      <c r="C960" s="17" t="str">
        <f t="shared" si="14"/>
        <v>KR</v>
      </c>
      <c r="D960" s="12">
        <v>0</v>
      </c>
    </row>
    <row r="961" spans="1:4" x14ac:dyDescent="0.25">
      <c r="A961" s="4" t="s">
        <v>547</v>
      </c>
      <c r="B961" s="4" t="s">
        <v>308</v>
      </c>
      <c r="C961" s="17" t="str">
        <f t="shared" si="14"/>
        <v>KR</v>
      </c>
      <c r="D961" s="12">
        <v>0</v>
      </c>
    </row>
    <row r="962" spans="1:4" x14ac:dyDescent="0.25">
      <c r="A962" s="4" t="s">
        <v>548</v>
      </c>
      <c r="B962" s="4" t="s">
        <v>308</v>
      </c>
      <c r="C962" s="17" t="str">
        <f t="shared" ref="C962:C1025" si="15">VLOOKUP(B962, quota_order_numbers2, 6, FALSE)</f>
        <v>KR</v>
      </c>
      <c r="D962" s="12">
        <v>0</v>
      </c>
    </row>
    <row r="963" spans="1:4" x14ac:dyDescent="0.25">
      <c r="A963" s="4" t="s">
        <v>549</v>
      </c>
      <c r="B963" s="4" t="s">
        <v>308</v>
      </c>
      <c r="C963" s="17" t="str">
        <f t="shared" si="15"/>
        <v>KR</v>
      </c>
      <c r="D963" s="12">
        <v>0</v>
      </c>
    </row>
    <row r="964" spans="1:4" x14ac:dyDescent="0.25">
      <c r="A964" s="4" t="s">
        <v>550</v>
      </c>
      <c r="B964" s="4" t="s">
        <v>308</v>
      </c>
      <c r="C964" s="17" t="str">
        <f t="shared" si="15"/>
        <v>KR</v>
      </c>
      <c r="D964" s="12">
        <v>0</v>
      </c>
    </row>
    <row r="965" spans="1:4" x14ac:dyDescent="0.25">
      <c r="A965" s="4" t="s">
        <v>551</v>
      </c>
      <c r="B965" s="4" t="s">
        <v>308</v>
      </c>
      <c r="C965" s="17" t="str">
        <f t="shared" si="15"/>
        <v>KR</v>
      </c>
      <c r="D965" s="12">
        <v>0</v>
      </c>
    </row>
    <row r="966" spans="1:4" x14ac:dyDescent="0.25">
      <c r="A966" s="4" t="s">
        <v>552</v>
      </c>
      <c r="B966" s="4" t="s">
        <v>308</v>
      </c>
      <c r="C966" s="17" t="str">
        <f t="shared" si="15"/>
        <v>KR</v>
      </c>
      <c r="D966" s="12">
        <v>0</v>
      </c>
    </row>
    <row r="967" spans="1:4" x14ac:dyDescent="0.25">
      <c r="A967" s="4" t="s">
        <v>553</v>
      </c>
      <c r="B967" s="4" t="s">
        <v>308</v>
      </c>
      <c r="C967" s="17" t="str">
        <f t="shared" si="15"/>
        <v>KR</v>
      </c>
      <c r="D967" s="12">
        <v>0</v>
      </c>
    </row>
    <row r="968" spans="1:4" x14ac:dyDescent="0.25">
      <c r="A968" s="4" t="s">
        <v>554</v>
      </c>
      <c r="B968" s="4" t="s">
        <v>308</v>
      </c>
      <c r="C968" s="17" t="str">
        <f t="shared" si="15"/>
        <v>KR</v>
      </c>
      <c r="D968" s="12">
        <v>0</v>
      </c>
    </row>
    <row r="969" spans="1:4" x14ac:dyDescent="0.25">
      <c r="A969" s="4" t="s">
        <v>555</v>
      </c>
      <c r="B969" s="4" t="s">
        <v>308</v>
      </c>
      <c r="C969" s="17" t="str">
        <f t="shared" si="15"/>
        <v>KR</v>
      </c>
      <c r="D969" s="12">
        <v>0</v>
      </c>
    </row>
    <row r="970" spans="1:4" x14ac:dyDescent="0.25">
      <c r="A970" s="4" t="s">
        <v>556</v>
      </c>
      <c r="B970" s="4" t="s">
        <v>308</v>
      </c>
      <c r="C970" s="17" t="str">
        <f t="shared" si="15"/>
        <v>KR</v>
      </c>
      <c r="D970" s="12">
        <v>0</v>
      </c>
    </row>
    <row r="971" spans="1:4" x14ac:dyDescent="0.25">
      <c r="A971" s="4" t="s">
        <v>557</v>
      </c>
      <c r="B971" s="4" t="s">
        <v>308</v>
      </c>
      <c r="C971" s="17" t="str">
        <f t="shared" si="15"/>
        <v>KR</v>
      </c>
      <c r="D971" s="12">
        <v>0</v>
      </c>
    </row>
    <row r="972" spans="1:4" x14ac:dyDescent="0.25">
      <c r="A972" s="4" t="s">
        <v>558</v>
      </c>
      <c r="B972" s="4" t="s">
        <v>308</v>
      </c>
      <c r="C972" s="17" t="str">
        <f t="shared" si="15"/>
        <v>KR</v>
      </c>
      <c r="D972" s="12">
        <v>0</v>
      </c>
    </row>
    <row r="973" spans="1:4" x14ac:dyDescent="0.25">
      <c r="A973" s="4" t="s">
        <v>559</v>
      </c>
      <c r="B973" s="4" t="s">
        <v>308</v>
      </c>
      <c r="C973" s="17" t="str">
        <f t="shared" si="15"/>
        <v>KR</v>
      </c>
      <c r="D973" s="12">
        <v>0</v>
      </c>
    </row>
    <row r="974" spans="1:4" x14ac:dyDescent="0.25">
      <c r="A974" s="4" t="s">
        <v>559</v>
      </c>
      <c r="B974" s="4" t="s">
        <v>308</v>
      </c>
      <c r="C974" s="17" t="str">
        <f t="shared" si="15"/>
        <v>KR</v>
      </c>
      <c r="D974" s="12">
        <v>0</v>
      </c>
    </row>
    <row r="975" spans="1:4" x14ac:dyDescent="0.25">
      <c r="A975" s="4" t="s">
        <v>560</v>
      </c>
      <c r="B975" s="4" t="s">
        <v>308</v>
      </c>
      <c r="C975" s="17" t="str">
        <f t="shared" si="15"/>
        <v>KR</v>
      </c>
      <c r="D975" s="12">
        <v>0</v>
      </c>
    </row>
    <row r="976" spans="1:4" x14ac:dyDescent="0.25">
      <c r="A976" s="4" t="s">
        <v>561</v>
      </c>
      <c r="B976" s="4" t="s">
        <v>308</v>
      </c>
      <c r="C976" s="17" t="str">
        <f t="shared" si="15"/>
        <v>KR</v>
      </c>
      <c r="D976" s="12">
        <v>0</v>
      </c>
    </row>
    <row r="977" spans="1:4" x14ac:dyDescent="0.25">
      <c r="A977" s="4" t="s">
        <v>562</v>
      </c>
      <c r="B977" s="4" t="s">
        <v>308</v>
      </c>
      <c r="C977" s="17" t="str">
        <f t="shared" si="15"/>
        <v>KR</v>
      </c>
      <c r="D977" s="12">
        <v>0</v>
      </c>
    </row>
    <row r="978" spans="1:4" x14ac:dyDescent="0.25">
      <c r="A978" s="4" t="s">
        <v>563</v>
      </c>
      <c r="B978" s="4" t="s">
        <v>308</v>
      </c>
      <c r="C978" s="17" t="str">
        <f t="shared" si="15"/>
        <v>KR</v>
      </c>
      <c r="D978" s="12">
        <v>0</v>
      </c>
    </row>
    <row r="979" spans="1:4" x14ac:dyDescent="0.25">
      <c r="A979" s="4" t="s">
        <v>564</v>
      </c>
      <c r="B979" s="4" t="s">
        <v>308</v>
      </c>
      <c r="C979" s="17" t="str">
        <f t="shared" si="15"/>
        <v>KR</v>
      </c>
      <c r="D979" s="12">
        <v>0</v>
      </c>
    </row>
    <row r="980" spans="1:4" x14ac:dyDescent="0.25">
      <c r="A980" s="4" t="s">
        <v>565</v>
      </c>
      <c r="B980" s="4" t="s">
        <v>308</v>
      </c>
      <c r="C980" s="17" t="str">
        <f t="shared" si="15"/>
        <v>KR</v>
      </c>
      <c r="D980" s="12">
        <v>0</v>
      </c>
    </row>
    <row r="981" spans="1:4" x14ac:dyDescent="0.25">
      <c r="A981" s="4" t="s">
        <v>566</v>
      </c>
      <c r="B981" s="4" t="s">
        <v>308</v>
      </c>
      <c r="C981" s="17" t="str">
        <f t="shared" si="15"/>
        <v>KR</v>
      </c>
      <c r="D981" s="12">
        <v>0</v>
      </c>
    </row>
    <row r="982" spans="1:4" x14ac:dyDescent="0.25">
      <c r="A982" s="4" t="s">
        <v>567</v>
      </c>
      <c r="B982" s="4" t="s">
        <v>308</v>
      </c>
      <c r="C982" s="17" t="str">
        <f t="shared" si="15"/>
        <v>KR</v>
      </c>
      <c r="D982" s="12">
        <v>0</v>
      </c>
    </row>
    <row r="983" spans="1:4" x14ac:dyDescent="0.25">
      <c r="A983" s="4" t="s">
        <v>568</v>
      </c>
      <c r="B983" s="4" t="s">
        <v>308</v>
      </c>
      <c r="C983" s="17" t="str">
        <f t="shared" si="15"/>
        <v>KR</v>
      </c>
      <c r="D983" s="12">
        <v>0</v>
      </c>
    </row>
    <row r="984" spans="1:4" x14ac:dyDescent="0.25">
      <c r="A984" s="4" t="s">
        <v>569</v>
      </c>
      <c r="B984" s="4" t="s">
        <v>308</v>
      </c>
      <c r="C984" s="17" t="str">
        <f t="shared" si="15"/>
        <v>KR</v>
      </c>
      <c r="D984" s="12">
        <v>0</v>
      </c>
    </row>
    <row r="985" spans="1:4" x14ac:dyDescent="0.25">
      <c r="A985" s="4" t="s">
        <v>570</v>
      </c>
      <c r="B985" s="4" t="s">
        <v>308</v>
      </c>
      <c r="C985" s="17" t="str">
        <f t="shared" si="15"/>
        <v>KR</v>
      </c>
      <c r="D985" s="12">
        <v>0</v>
      </c>
    </row>
    <row r="986" spans="1:4" x14ac:dyDescent="0.25">
      <c r="A986" s="4" t="s">
        <v>571</v>
      </c>
      <c r="B986" s="4" t="s">
        <v>308</v>
      </c>
      <c r="C986" s="17" t="str">
        <f t="shared" si="15"/>
        <v>KR</v>
      </c>
      <c r="D986" s="12">
        <v>0</v>
      </c>
    </row>
    <row r="987" spans="1:4" x14ac:dyDescent="0.25">
      <c r="A987" s="4" t="s">
        <v>572</v>
      </c>
      <c r="B987" s="4" t="s">
        <v>308</v>
      </c>
      <c r="C987" s="17" t="str">
        <f t="shared" si="15"/>
        <v>KR</v>
      </c>
      <c r="D987" s="12">
        <v>0</v>
      </c>
    </row>
    <row r="988" spans="1:4" x14ac:dyDescent="0.25">
      <c r="A988" s="4" t="s">
        <v>573</v>
      </c>
      <c r="B988" s="4" t="s">
        <v>308</v>
      </c>
      <c r="C988" s="17" t="str">
        <f t="shared" si="15"/>
        <v>KR</v>
      </c>
      <c r="D988" s="12">
        <v>0</v>
      </c>
    </row>
    <row r="989" spans="1:4" x14ac:dyDescent="0.25">
      <c r="A989" s="4" t="s">
        <v>574</v>
      </c>
      <c r="B989" s="4" t="s">
        <v>308</v>
      </c>
      <c r="C989" s="17" t="str">
        <f t="shared" si="15"/>
        <v>KR</v>
      </c>
      <c r="D989" s="12">
        <v>0</v>
      </c>
    </row>
    <row r="990" spans="1:4" x14ac:dyDescent="0.25">
      <c r="A990" s="4" t="s">
        <v>575</v>
      </c>
      <c r="B990" s="4" t="s">
        <v>308</v>
      </c>
      <c r="C990" s="17" t="str">
        <f t="shared" si="15"/>
        <v>KR</v>
      </c>
      <c r="D990" s="12">
        <v>0</v>
      </c>
    </row>
    <row r="991" spans="1:4" x14ac:dyDescent="0.25">
      <c r="A991" s="4" t="s">
        <v>576</v>
      </c>
      <c r="B991" s="4" t="s">
        <v>308</v>
      </c>
      <c r="C991" s="17" t="str">
        <f t="shared" si="15"/>
        <v>KR</v>
      </c>
      <c r="D991" s="12">
        <v>0</v>
      </c>
    </row>
    <row r="992" spans="1:4" x14ac:dyDescent="0.25">
      <c r="A992" s="20" t="s">
        <v>540</v>
      </c>
      <c r="B992" s="4" t="s">
        <v>306</v>
      </c>
      <c r="C992" s="17" t="str">
        <f t="shared" si="15"/>
        <v>TW</v>
      </c>
      <c r="D992" s="12">
        <v>0</v>
      </c>
    </row>
    <row r="993" spans="1:4" x14ac:dyDescent="0.25">
      <c r="A993" s="4" t="s">
        <v>541</v>
      </c>
      <c r="B993" s="4" t="s">
        <v>306</v>
      </c>
      <c r="C993" s="17" t="str">
        <f t="shared" si="15"/>
        <v>TW</v>
      </c>
      <c r="D993" s="12">
        <v>0</v>
      </c>
    </row>
    <row r="994" spans="1:4" x14ac:dyDescent="0.25">
      <c r="A994" s="4" t="s">
        <v>542</v>
      </c>
      <c r="B994" s="4" t="s">
        <v>306</v>
      </c>
      <c r="C994" s="17" t="str">
        <f t="shared" si="15"/>
        <v>TW</v>
      </c>
      <c r="D994" s="12">
        <v>0</v>
      </c>
    </row>
    <row r="995" spans="1:4" x14ac:dyDescent="0.25">
      <c r="A995" s="4" t="s">
        <v>543</v>
      </c>
      <c r="B995" s="4" t="s">
        <v>306</v>
      </c>
      <c r="C995" s="17" t="str">
        <f t="shared" si="15"/>
        <v>TW</v>
      </c>
      <c r="D995" s="12">
        <v>0</v>
      </c>
    </row>
    <row r="996" spans="1:4" x14ac:dyDescent="0.25">
      <c r="A996" s="4" t="s">
        <v>544</v>
      </c>
      <c r="B996" s="4" t="s">
        <v>306</v>
      </c>
      <c r="C996" s="17" t="str">
        <f t="shared" si="15"/>
        <v>TW</v>
      </c>
      <c r="D996" s="12">
        <v>0</v>
      </c>
    </row>
    <row r="997" spans="1:4" x14ac:dyDescent="0.25">
      <c r="A997" s="4" t="s">
        <v>545</v>
      </c>
      <c r="B997" s="4" t="s">
        <v>306</v>
      </c>
      <c r="C997" s="17" t="str">
        <f t="shared" si="15"/>
        <v>TW</v>
      </c>
      <c r="D997" s="12">
        <v>0</v>
      </c>
    </row>
    <row r="998" spans="1:4" x14ac:dyDescent="0.25">
      <c r="A998" s="4" t="s">
        <v>546</v>
      </c>
      <c r="B998" s="4" t="s">
        <v>306</v>
      </c>
      <c r="C998" s="17" t="str">
        <f t="shared" si="15"/>
        <v>TW</v>
      </c>
      <c r="D998" s="12">
        <v>0</v>
      </c>
    </row>
    <row r="999" spans="1:4" x14ac:dyDescent="0.25">
      <c r="A999" s="4" t="s">
        <v>547</v>
      </c>
      <c r="B999" s="4" t="s">
        <v>306</v>
      </c>
      <c r="C999" s="17" t="str">
        <f t="shared" si="15"/>
        <v>TW</v>
      </c>
      <c r="D999" s="12">
        <v>0</v>
      </c>
    </row>
    <row r="1000" spans="1:4" x14ac:dyDescent="0.25">
      <c r="A1000" s="4" t="s">
        <v>548</v>
      </c>
      <c r="B1000" s="4" t="s">
        <v>306</v>
      </c>
      <c r="C1000" s="17" t="str">
        <f t="shared" si="15"/>
        <v>TW</v>
      </c>
      <c r="D1000" s="12">
        <v>0</v>
      </c>
    </row>
    <row r="1001" spans="1:4" x14ac:dyDescent="0.25">
      <c r="A1001" s="4" t="s">
        <v>549</v>
      </c>
      <c r="B1001" s="4" t="s">
        <v>306</v>
      </c>
      <c r="C1001" s="17" t="str">
        <f t="shared" si="15"/>
        <v>TW</v>
      </c>
      <c r="D1001" s="12">
        <v>0</v>
      </c>
    </row>
    <row r="1002" spans="1:4" x14ac:dyDescent="0.25">
      <c r="A1002" s="4" t="s">
        <v>550</v>
      </c>
      <c r="B1002" s="4" t="s">
        <v>306</v>
      </c>
      <c r="C1002" s="17" t="str">
        <f t="shared" si="15"/>
        <v>TW</v>
      </c>
      <c r="D1002" s="12">
        <v>0</v>
      </c>
    </row>
    <row r="1003" spans="1:4" x14ac:dyDescent="0.25">
      <c r="A1003" s="4" t="s">
        <v>551</v>
      </c>
      <c r="B1003" s="4" t="s">
        <v>306</v>
      </c>
      <c r="C1003" s="17" t="str">
        <f t="shared" si="15"/>
        <v>TW</v>
      </c>
      <c r="D1003" s="12">
        <v>0</v>
      </c>
    </row>
    <row r="1004" spans="1:4" x14ac:dyDescent="0.25">
      <c r="A1004" s="4" t="s">
        <v>552</v>
      </c>
      <c r="B1004" s="4" t="s">
        <v>306</v>
      </c>
      <c r="C1004" s="17" t="str">
        <f t="shared" si="15"/>
        <v>TW</v>
      </c>
      <c r="D1004" s="12">
        <v>0</v>
      </c>
    </row>
    <row r="1005" spans="1:4" x14ac:dyDescent="0.25">
      <c r="A1005" s="4" t="s">
        <v>553</v>
      </c>
      <c r="B1005" s="4" t="s">
        <v>306</v>
      </c>
      <c r="C1005" s="17" t="str">
        <f t="shared" si="15"/>
        <v>TW</v>
      </c>
      <c r="D1005" s="12">
        <v>0</v>
      </c>
    </row>
    <row r="1006" spans="1:4" x14ac:dyDescent="0.25">
      <c r="A1006" s="4" t="s">
        <v>554</v>
      </c>
      <c r="B1006" s="4" t="s">
        <v>306</v>
      </c>
      <c r="C1006" s="17" t="str">
        <f t="shared" si="15"/>
        <v>TW</v>
      </c>
      <c r="D1006" s="12">
        <v>0</v>
      </c>
    </row>
    <row r="1007" spans="1:4" x14ac:dyDescent="0.25">
      <c r="A1007" s="4" t="s">
        <v>555</v>
      </c>
      <c r="B1007" s="4" t="s">
        <v>306</v>
      </c>
      <c r="C1007" s="17" t="str">
        <f t="shared" si="15"/>
        <v>TW</v>
      </c>
      <c r="D1007" s="12">
        <v>0</v>
      </c>
    </row>
    <row r="1008" spans="1:4" x14ac:dyDescent="0.25">
      <c r="A1008" s="4" t="s">
        <v>556</v>
      </c>
      <c r="B1008" s="4" t="s">
        <v>306</v>
      </c>
      <c r="C1008" s="17" t="str">
        <f t="shared" si="15"/>
        <v>TW</v>
      </c>
      <c r="D1008" s="12">
        <v>0</v>
      </c>
    </row>
    <row r="1009" spans="1:4" x14ac:dyDescent="0.25">
      <c r="A1009" s="4" t="s">
        <v>557</v>
      </c>
      <c r="B1009" s="4" t="s">
        <v>306</v>
      </c>
      <c r="C1009" s="17" t="str">
        <f t="shared" si="15"/>
        <v>TW</v>
      </c>
      <c r="D1009" s="12">
        <v>0</v>
      </c>
    </row>
    <row r="1010" spans="1:4" x14ac:dyDescent="0.25">
      <c r="A1010" s="4" t="s">
        <v>558</v>
      </c>
      <c r="B1010" s="4" t="s">
        <v>306</v>
      </c>
      <c r="C1010" s="17" t="str">
        <f t="shared" si="15"/>
        <v>TW</v>
      </c>
      <c r="D1010" s="12">
        <v>0</v>
      </c>
    </row>
    <row r="1011" spans="1:4" x14ac:dyDescent="0.25">
      <c r="A1011" s="4" t="s">
        <v>559</v>
      </c>
      <c r="B1011" s="4" t="s">
        <v>306</v>
      </c>
      <c r="C1011" s="17" t="str">
        <f t="shared" si="15"/>
        <v>TW</v>
      </c>
      <c r="D1011" s="12">
        <v>0</v>
      </c>
    </row>
    <row r="1012" spans="1:4" x14ac:dyDescent="0.25">
      <c r="A1012" s="4" t="s">
        <v>559</v>
      </c>
      <c r="B1012" s="4" t="s">
        <v>306</v>
      </c>
      <c r="C1012" s="17" t="str">
        <f t="shared" si="15"/>
        <v>TW</v>
      </c>
      <c r="D1012" s="12">
        <v>0</v>
      </c>
    </row>
    <row r="1013" spans="1:4" x14ac:dyDescent="0.25">
      <c r="A1013" s="4" t="s">
        <v>560</v>
      </c>
      <c r="B1013" s="4" t="s">
        <v>306</v>
      </c>
      <c r="C1013" s="17" t="str">
        <f t="shared" si="15"/>
        <v>TW</v>
      </c>
      <c r="D1013" s="12">
        <v>0</v>
      </c>
    </row>
    <row r="1014" spans="1:4" x14ac:dyDescent="0.25">
      <c r="A1014" s="4" t="s">
        <v>561</v>
      </c>
      <c r="B1014" s="4" t="s">
        <v>306</v>
      </c>
      <c r="C1014" s="17" t="str">
        <f t="shared" si="15"/>
        <v>TW</v>
      </c>
      <c r="D1014" s="12">
        <v>0</v>
      </c>
    </row>
    <row r="1015" spans="1:4" x14ac:dyDescent="0.25">
      <c r="A1015" s="4" t="s">
        <v>562</v>
      </c>
      <c r="B1015" s="4" t="s">
        <v>306</v>
      </c>
      <c r="C1015" s="17" t="str">
        <f t="shared" si="15"/>
        <v>TW</v>
      </c>
      <c r="D1015" s="12">
        <v>0</v>
      </c>
    </row>
    <row r="1016" spans="1:4" x14ac:dyDescent="0.25">
      <c r="A1016" s="4" t="s">
        <v>563</v>
      </c>
      <c r="B1016" s="4" t="s">
        <v>306</v>
      </c>
      <c r="C1016" s="17" t="str">
        <f t="shared" si="15"/>
        <v>TW</v>
      </c>
      <c r="D1016" s="12">
        <v>0</v>
      </c>
    </row>
    <row r="1017" spans="1:4" x14ac:dyDescent="0.25">
      <c r="A1017" s="4" t="s">
        <v>564</v>
      </c>
      <c r="B1017" s="4" t="s">
        <v>306</v>
      </c>
      <c r="C1017" s="17" t="str">
        <f t="shared" si="15"/>
        <v>TW</v>
      </c>
      <c r="D1017" s="12">
        <v>0</v>
      </c>
    </row>
    <row r="1018" spans="1:4" x14ac:dyDescent="0.25">
      <c r="A1018" s="4" t="s">
        <v>565</v>
      </c>
      <c r="B1018" s="4" t="s">
        <v>306</v>
      </c>
      <c r="C1018" s="17" t="str">
        <f t="shared" si="15"/>
        <v>TW</v>
      </c>
      <c r="D1018" s="12">
        <v>0</v>
      </c>
    </row>
    <row r="1019" spans="1:4" x14ac:dyDescent="0.25">
      <c r="A1019" s="4" t="s">
        <v>566</v>
      </c>
      <c r="B1019" s="4" t="s">
        <v>306</v>
      </c>
      <c r="C1019" s="17" t="str">
        <f t="shared" si="15"/>
        <v>TW</v>
      </c>
      <c r="D1019" s="12">
        <v>0</v>
      </c>
    </row>
    <row r="1020" spans="1:4" x14ac:dyDescent="0.25">
      <c r="A1020" s="4" t="s">
        <v>567</v>
      </c>
      <c r="B1020" s="4" t="s">
        <v>306</v>
      </c>
      <c r="C1020" s="17" t="str">
        <f t="shared" si="15"/>
        <v>TW</v>
      </c>
      <c r="D1020" s="12">
        <v>0</v>
      </c>
    </row>
    <row r="1021" spans="1:4" x14ac:dyDescent="0.25">
      <c r="A1021" s="4" t="s">
        <v>568</v>
      </c>
      <c r="B1021" s="4" t="s">
        <v>306</v>
      </c>
      <c r="C1021" s="17" t="str">
        <f t="shared" si="15"/>
        <v>TW</v>
      </c>
      <c r="D1021" s="12">
        <v>0</v>
      </c>
    </row>
    <row r="1022" spans="1:4" x14ac:dyDescent="0.25">
      <c r="A1022" s="4" t="s">
        <v>569</v>
      </c>
      <c r="B1022" s="4" t="s">
        <v>306</v>
      </c>
      <c r="C1022" s="17" t="str">
        <f t="shared" si="15"/>
        <v>TW</v>
      </c>
      <c r="D1022" s="12">
        <v>0</v>
      </c>
    </row>
    <row r="1023" spans="1:4" x14ac:dyDescent="0.25">
      <c r="A1023" s="4" t="s">
        <v>570</v>
      </c>
      <c r="B1023" s="4" t="s">
        <v>306</v>
      </c>
      <c r="C1023" s="17" t="str">
        <f t="shared" si="15"/>
        <v>TW</v>
      </c>
      <c r="D1023" s="12">
        <v>0</v>
      </c>
    </row>
    <row r="1024" spans="1:4" x14ac:dyDescent="0.25">
      <c r="A1024" s="4" t="s">
        <v>571</v>
      </c>
      <c r="B1024" s="4" t="s">
        <v>306</v>
      </c>
      <c r="C1024" s="17" t="str">
        <f t="shared" si="15"/>
        <v>TW</v>
      </c>
      <c r="D1024" s="12">
        <v>0</v>
      </c>
    </row>
    <row r="1025" spans="1:4" x14ac:dyDescent="0.25">
      <c r="A1025" s="4" t="s">
        <v>572</v>
      </c>
      <c r="B1025" s="4" t="s">
        <v>306</v>
      </c>
      <c r="C1025" s="17" t="str">
        <f t="shared" si="15"/>
        <v>TW</v>
      </c>
      <c r="D1025" s="12">
        <v>0</v>
      </c>
    </row>
    <row r="1026" spans="1:4" x14ac:dyDescent="0.25">
      <c r="A1026" s="4" t="s">
        <v>573</v>
      </c>
      <c r="B1026" s="4" t="s">
        <v>306</v>
      </c>
      <c r="C1026" s="17" t="str">
        <f t="shared" ref="C1026:C1067" si="16">VLOOKUP(B1026, quota_order_numbers2, 6, FALSE)</f>
        <v>TW</v>
      </c>
      <c r="D1026" s="12">
        <v>0</v>
      </c>
    </row>
    <row r="1027" spans="1:4" x14ac:dyDescent="0.25">
      <c r="A1027" s="4" t="s">
        <v>574</v>
      </c>
      <c r="B1027" s="4" t="s">
        <v>306</v>
      </c>
      <c r="C1027" s="17" t="str">
        <f t="shared" si="16"/>
        <v>TW</v>
      </c>
      <c r="D1027" s="12">
        <v>0</v>
      </c>
    </row>
    <row r="1028" spans="1:4" x14ac:dyDescent="0.25">
      <c r="A1028" s="4" t="s">
        <v>575</v>
      </c>
      <c r="B1028" s="4" t="s">
        <v>306</v>
      </c>
      <c r="C1028" s="17" t="str">
        <f t="shared" si="16"/>
        <v>TW</v>
      </c>
      <c r="D1028" s="12">
        <v>0</v>
      </c>
    </row>
    <row r="1029" spans="1:4" x14ac:dyDescent="0.25">
      <c r="A1029" s="4" t="s">
        <v>576</v>
      </c>
      <c r="B1029" s="4" t="s">
        <v>306</v>
      </c>
      <c r="C1029" s="17" t="str">
        <f t="shared" si="16"/>
        <v>TW</v>
      </c>
      <c r="D1029" s="12">
        <v>0</v>
      </c>
    </row>
    <row r="1030" spans="1:4" x14ac:dyDescent="0.25">
      <c r="A1030" s="20" t="s">
        <v>540</v>
      </c>
      <c r="B1030" s="4" t="s">
        <v>310</v>
      </c>
      <c r="C1030" s="17" t="str">
        <f t="shared" si="16"/>
        <v>5002</v>
      </c>
      <c r="D1030" s="12">
        <v>0</v>
      </c>
    </row>
    <row r="1031" spans="1:4" x14ac:dyDescent="0.25">
      <c r="A1031" s="4" t="s">
        <v>541</v>
      </c>
      <c r="B1031" s="4" t="s">
        <v>310</v>
      </c>
      <c r="C1031" s="17" t="str">
        <f t="shared" si="16"/>
        <v>5002</v>
      </c>
      <c r="D1031" s="12">
        <v>0</v>
      </c>
    </row>
    <row r="1032" spans="1:4" x14ac:dyDescent="0.25">
      <c r="A1032" s="4" t="s">
        <v>542</v>
      </c>
      <c r="B1032" s="4" t="s">
        <v>310</v>
      </c>
      <c r="C1032" s="17" t="str">
        <f t="shared" si="16"/>
        <v>5002</v>
      </c>
      <c r="D1032" s="12">
        <v>0</v>
      </c>
    </row>
    <row r="1033" spans="1:4" x14ac:dyDescent="0.25">
      <c r="A1033" s="4" t="s">
        <v>543</v>
      </c>
      <c r="B1033" s="4" t="s">
        <v>310</v>
      </c>
      <c r="C1033" s="17" t="str">
        <f t="shared" si="16"/>
        <v>5002</v>
      </c>
      <c r="D1033" s="12">
        <v>0</v>
      </c>
    </row>
    <row r="1034" spans="1:4" x14ac:dyDescent="0.25">
      <c r="A1034" s="4" t="s">
        <v>544</v>
      </c>
      <c r="B1034" s="4" t="s">
        <v>310</v>
      </c>
      <c r="C1034" s="17" t="str">
        <f t="shared" si="16"/>
        <v>5002</v>
      </c>
      <c r="D1034" s="12">
        <v>0</v>
      </c>
    </row>
    <row r="1035" spans="1:4" x14ac:dyDescent="0.25">
      <c r="A1035" s="4" t="s">
        <v>545</v>
      </c>
      <c r="B1035" s="4" t="s">
        <v>310</v>
      </c>
      <c r="C1035" s="17" t="str">
        <f t="shared" si="16"/>
        <v>5002</v>
      </c>
      <c r="D1035" s="12">
        <v>0</v>
      </c>
    </row>
    <row r="1036" spans="1:4" x14ac:dyDescent="0.25">
      <c r="A1036" s="4" t="s">
        <v>546</v>
      </c>
      <c r="B1036" s="4" t="s">
        <v>310</v>
      </c>
      <c r="C1036" s="17" t="str">
        <f t="shared" si="16"/>
        <v>5002</v>
      </c>
      <c r="D1036" s="12">
        <v>0</v>
      </c>
    </row>
    <row r="1037" spans="1:4" x14ac:dyDescent="0.25">
      <c r="A1037" s="4" t="s">
        <v>547</v>
      </c>
      <c r="B1037" s="4" t="s">
        <v>310</v>
      </c>
      <c r="C1037" s="17" t="str">
        <f t="shared" si="16"/>
        <v>5002</v>
      </c>
      <c r="D1037" s="12">
        <v>0</v>
      </c>
    </row>
    <row r="1038" spans="1:4" x14ac:dyDescent="0.25">
      <c r="A1038" s="4" t="s">
        <v>548</v>
      </c>
      <c r="B1038" s="4" t="s">
        <v>310</v>
      </c>
      <c r="C1038" s="17" t="str">
        <f t="shared" si="16"/>
        <v>5002</v>
      </c>
      <c r="D1038" s="12">
        <v>0</v>
      </c>
    </row>
    <row r="1039" spans="1:4" x14ac:dyDescent="0.25">
      <c r="A1039" s="4" t="s">
        <v>549</v>
      </c>
      <c r="B1039" s="4" t="s">
        <v>310</v>
      </c>
      <c r="C1039" s="17" t="str">
        <f t="shared" si="16"/>
        <v>5002</v>
      </c>
      <c r="D1039" s="12">
        <v>0</v>
      </c>
    </row>
    <row r="1040" spans="1:4" x14ac:dyDescent="0.25">
      <c r="A1040" s="4" t="s">
        <v>550</v>
      </c>
      <c r="B1040" s="4" t="s">
        <v>310</v>
      </c>
      <c r="C1040" s="17" t="str">
        <f t="shared" si="16"/>
        <v>5002</v>
      </c>
      <c r="D1040" s="12">
        <v>0</v>
      </c>
    </row>
    <row r="1041" spans="1:4" x14ac:dyDescent="0.25">
      <c r="A1041" s="4" t="s">
        <v>551</v>
      </c>
      <c r="B1041" s="4" t="s">
        <v>310</v>
      </c>
      <c r="C1041" s="17" t="str">
        <f t="shared" si="16"/>
        <v>5002</v>
      </c>
      <c r="D1041" s="12">
        <v>0</v>
      </c>
    </row>
    <row r="1042" spans="1:4" x14ac:dyDescent="0.25">
      <c r="A1042" s="4" t="s">
        <v>552</v>
      </c>
      <c r="B1042" s="4" t="s">
        <v>310</v>
      </c>
      <c r="C1042" s="17" t="str">
        <f t="shared" si="16"/>
        <v>5002</v>
      </c>
      <c r="D1042" s="12">
        <v>0</v>
      </c>
    </row>
    <row r="1043" spans="1:4" x14ac:dyDescent="0.25">
      <c r="A1043" s="4" t="s">
        <v>553</v>
      </c>
      <c r="B1043" s="4" t="s">
        <v>310</v>
      </c>
      <c r="C1043" s="17" t="str">
        <f t="shared" si="16"/>
        <v>5002</v>
      </c>
      <c r="D1043" s="12">
        <v>0</v>
      </c>
    </row>
    <row r="1044" spans="1:4" x14ac:dyDescent="0.25">
      <c r="A1044" s="4" t="s">
        <v>554</v>
      </c>
      <c r="B1044" s="4" t="s">
        <v>310</v>
      </c>
      <c r="C1044" s="17" t="str">
        <f t="shared" si="16"/>
        <v>5002</v>
      </c>
      <c r="D1044" s="12">
        <v>0</v>
      </c>
    </row>
    <row r="1045" spans="1:4" x14ac:dyDescent="0.25">
      <c r="A1045" s="4" t="s">
        <v>555</v>
      </c>
      <c r="B1045" s="4" t="s">
        <v>310</v>
      </c>
      <c r="C1045" s="17" t="str">
        <f t="shared" si="16"/>
        <v>5002</v>
      </c>
      <c r="D1045" s="12">
        <v>0</v>
      </c>
    </row>
    <row r="1046" spans="1:4" x14ac:dyDescent="0.25">
      <c r="A1046" s="4" t="s">
        <v>556</v>
      </c>
      <c r="B1046" s="4" t="s">
        <v>310</v>
      </c>
      <c r="C1046" s="17" t="str">
        <f t="shared" si="16"/>
        <v>5002</v>
      </c>
      <c r="D1046" s="12">
        <v>0</v>
      </c>
    </row>
    <row r="1047" spans="1:4" x14ac:dyDescent="0.25">
      <c r="A1047" s="4" t="s">
        <v>557</v>
      </c>
      <c r="B1047" s="4" t="s">
        <v>310</v>
      </c>
      <c r="C1047" s="17" t="str">
        <f t="shared" si="16"/>
        <v>5002</v>
      </c>
      <c r="D1047" s="12">
        <v>0</v>
      </c>
    </row>
    <row r="1048" spans="1:4" x14ac:dyDescent="0.25">
      <c r="A1048" s="4" t="s">
        <v>558</v>
      </c>
      <c r="B1048" s="4" t="s">
        <v>310</v>
      </c>
      <c r="C1048" s="17" t="str">
        <f t="shared" si="16"/>
        <v>5002</v>
      </c>
      <c r="D1048" s="12">
        <v>0</v>
      </c>
    </row>
    <row r="1049" spans="1:4" x14ac:dyDescent="0.25">
      <c r="A1049" s="4" t="s">
        <v>559</v>
      </c>
      <c r="B1049" s="4" t="s">
        <v>310</v>
      </c>
      <c r="C1049" s="17" t="str">
        <f t="shared" si="16"/>
        <v>5002</v>
      </c>
      <c r="D1049" s="12">
        <v>0</v>
      </c>
    </row>
    <row r="1050" spans="1:4" x14ac:dyDescent="0.25">
      <c r="A1050" s="4" t="s">
        <v>559</v>
      </c>
      <c r="B1050" s="4" t="s">
        <v>310</v>
      </c>
      <c r="C1050" s="17" t="str">
        <f t="shared" si="16"/>
        <v>5002</v>
      </c>
      <c r="D1050" s="12">
        <v>0</v>
      </c>
    </row>
    <row r="1051" spans="1:4" x14ac:dyDescent="0.25">
      <c r="A1051" s="4" t="s">
        <v>560</v>
      </c>
      <c r="B1051" s="4" t="s">
        <v>310</v>
      </c>
      <c r="C1051" s="17" t="str">
        <f t="shared" si="16"/>
        <v>5002</v>
      </c>
      <c r="D1051" s="12">
        <v>0</v>
      </c>
    </row>
    <row r="1052" spans="1:4" x14ac:dyDescent="0.25">
      <c r="A1052" s="4" t="s">
        <v>561</v>
      </c>
      <c r="B1052" s="4" t="s">
        <v>310</v>
      </c>
      <c r="C1052" s="17" t="str">
        <f t="shared" si="16"/>
        <v>5002</v>
      </c>
      <c r="D1052" s="12">
        <v>0</v>
      </c>
    </row>
    <row r="1053" spans="1:4" x14ac:dyDescent="0.25">
      <c r="A1053" s="4" t="s">
        <v>562</v>
      </c>
      <c r="B1053" s="4" t="s">
        <v>310</v>
      </c>
      <c r="C1053" s="17" t="str">
        <f t="shared" si="16"/>
        <v>5002</v>
      </c>
      <c r="D1053" s="12">
        <v>0</v>
      </c>
    </row>
    <row r="1054" spans="1:4" x14ac:dyDescent="0.25">
      <c r="A1054" s="4" t="s">
        <v>563</v>
      </c>
      <c r="B1054" s="4" t="s">
        <v>310</v>
      </c>
      <c r="C1054" s="17" t="str">
        <f t="shared" si="16"/>
        <v>5002</v>
      </c>
      <c r="D1054" s="12">
        <v>0</v>
      </c>
    </row>
    <row r="1055" spans="1:4" x14ac:dyDescent="0.25">
      <c r="A1055" s="4" t="s">
        <v>564</v>
      </c>
      <c r="B1055" s="4" t="s">
        <v>310</v>
      </c>
      <c r="C1055" s="17" t="str">
        <f t="shared" si="16"/>
        <v>5002</v>
      </c>
      <c r="D1055" s="12">
        <v>0</v>
      </c>
    </row>
    <row r="1056" spans="1:4" x14ac:dyDescent="0.25">
      <c r="A1056" s="4" t="s">
        <v>565</v>
      </c>
      <c r="B1056" s="4" t="s">
        <v>310</v>
      </c>
      <c r="C1056" s="17" t="str">
        <f t="shared" si="16"/>
        <v>5002</v>
      </c>
      <c r="D1056" s="12">
        <v>0</v>
      </c>
    </row>
    <row r="1057" spans="1:4" x14ac:dyDescent="0.25">
      <c r="A1057" s="4" t="s">
        <v>566</v>
      </c>
      <c r="B1057" s="4" t="s">
        <v>310</v>
      </c>
      <c r="C1057" s="17" t="str">
        <f t="shared" si="16"/>
        <v>5002</v>
      </c>
      <c r="D1057" s="12">
        <v>0</v>
      </c>
    </row>
    <row r="1058" spans="1:4" x14ac:dyDescent="0.25">
      <c r="A1058" s="4" t="s">
        <v>567</v>
      </c>
      <c r="B1058" s="4" t="s">
        <v>310</v>
      </c>
      <c r="C1058" s="17" t="str">
        <f t="shared" si="16"/>
        <v>5002</v>
      </c>
      <c r="D1058" s="12">
        <v>0</v>
      </c>
    </row>
    <row r="1059" spans="1:4" x14ac:dyDescent="0.25">
      <c r="A1059" s="4" t="s">
        <v>568</v>
      </c>
      <c r="B1059" s="4" t="s">
        <v>310</v>
      </c>
      <c r="C1059" s="17" t="str">
        <f t="shared" si="16"/>
        <v>5002</v>
      </c>
      <c r="D1059" s="12">
        <v>0</v>
      </c>
    </row>
    <row r="1060" spans="1:4" x14ac:dyDescent="0.25">
      <c r="A1060" s="4" t="s">
        <v>569</v>
      </c>
      <c r="B1060" s="4" t="s">
        <v>310</v>
      </c>
      <c r="C1060" s="17" t="str">
        <f t="shared" si="16"/>
        <v>5002</v>
      </c>
      <c r="D1060" s="12">
        <v>0</v>
      </c>
    </row>
    <row r="1061" spans="1:4" x14ac:dyDescent="0.25">
      <c r="A1061" s="4" t="s">
        <v>570</v>
      </c>
      <c r="B1061" s="4" t="s">
        <v>310</v>
      </c>
      <c r="C1061" s="17" t="str">
        <f t="shared" si="16"/>
        <v>5002</v>
      </c>
      <c r="D1061" s="12">
        <v>0</v>
      </c>
    </row>
    <row r="1062" spans="1:4" x14ac:dyDescent="0.25">
      <c r="A1062" s="4" t="s">
        <v>571</v>
      </c>
      <c r="B1062" s="4" t="s">
        <v>310</v>
      </c>
      <c r="C1062" s="17" t="str">
        <f t="shared" si="16"/>
        <v>5002</v>
      </c>
      <c r="D1062" s="12">
        <v>0</v>
      </c>
    </row>
    <row r="1063" spans="1:4" x14ac:dyDescent="0.25">
      <c r="A1063" s="4" t="s">
        <v>572</v>
      </c>
      <c r="B1063" s="4" t="s">
        <v>310</v>
      </c>
      <c r="C1063" s="17" t="str">
        <f t="shared" si="16"/>
        <v>5002</v>
      </c>
      <c r="D1063" s="12">
        <v>0</v>
      </c>
    </row>
    <row r="1064" spans="1:4" x14ac:dyDescent="0.25">
      <c r="A1064" s="4" t="s">
        <v>573</v>
      </c>
      <c r="B1064" s="4" t="s">
        <v>310</v>
      </c>
      <c r="C1064" s="17" t="str">
        <f t="shared" si="16"/>
        <v>5002</v>
      </c>
      <c r="D1064" s="12">
        <v>0</v>
      </c>
    </row>
    <row r="1065" spans="1:4" x14ac:dyDescent="0.25">
      <c r="A1065" s="4" t="s">
        <v>574</v>
      </c>
      <c r="B1065" s="4" t="s">
        <v>310</v>
      </c>
      <c r="C1065" s="17" t="str">
        <f t="shared" si="16"/>
        <v>5002</v>
      </c>
      <c r="D1065" s="12">
        <v>0</v>
      </c>
    </row>
    <row r="1066" spans="1:4" x14ac:dyDescent="0.25">
      <c r="A1066" s="4" t="s">
        <v>575</v>
      </c>
      <c r="B1066" s="4" t="s">
        <v>310</v>
      </c>
      <c r="C1066" s="17" t="str">
        <f t="shared" si="16"/>
        <v>5002</v>
      </c>
      <c r="D1066" s="12">
        <v>0</v>
      </c>
    </row>
    <row r="1067" spans="1:4" x14ac:dyDescent="0.25">
      <c r="A1067" s="4" t="s">
        <v>576</v>
      </c>
      <c r="B1067" s="4" t="s">
        <v>310</v>
      </c>
      <c r="C1067" s="17" t="str">
        <f t="shared" si="16"/>
        <v>5002</v>
      </c>
      <c r="D1067" s="12">
        <v>0</v>
      </c>
    </row>
  </sheetData>
  <autoFilter ref="A1:J1" xr:uid="{93574E4A-0673-4502-B038-F586465E06A9}"/>
  <dataValidations count="3">
    <dataValidation type="list" allowBlank="1" showInputMessage="1" showErrorMessage="1" sqref="B2:C1048576" xr:uid="{F6B8CFE8-EE22-4D52-9EBC-D5A88A3A279A}">
      <formula1>quota_order_numbers</formula1>
    </dataValidation>
    <dataValidation type="list" allowBlank="1" showInputMessage="1" showErrorMessage="1" sqref="F2:F1048576" xr:uid="{B7B4A4F7-660F-4C19-8611-37A4A382BFC1}">
      <formula1>measurement_units</formula1>
    </dataValidation>
    <dataValidation type="list" allowBlank="1" showInputMessage="1" showErrorMessage="1" sqref="G2:G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80</v>
      </c>
    </row>
    <row r="2" spans="1:3" x14ac:dyDescent="0.25">
      <c r="A2" t="s">
        <v>11</v>
      </c>
      <c r="B2" s="8" t="s">
        <v>53</v>
      </c>
      <c r="C2" t="s">
        <v>81</v>
      </c>
    </row>
    <row r="3" spans="1:3" x14ac:dyDescent="0.25">
      <c r="A3" t="s">
        <v>12</v>
      </c>
      <c r="B3" s="8" t="s">
        <v>54</v>
      </c>
      <c r="C3" t="s">
        <v>82</v>
      </c>
    </row>
    <row r="4" spans="1:3" x14ac:dyDescent="0.25">
      <c r="A4" t="s">
        <v>13</v>
      </c>
      <c r="B4" s="8" t="s">
        <v>55</v>
      </c>
      <c r="C4" t="s">
        <v>83</v>
      </c>
    </row>
    <row r="5" spans="1:3" x14ac:dyDescent="0.25">
      <c r="A5" t="s">
        <v>14</v>
      </c>
      <c r="B5" s="8" t="s">
        <v>56</v>
      </c>
      <c r="C5" t="s">
        <v>84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Order numbers</vt:lpstr>
      <vt:lpstr>Definitions</vt:lpstr>
      <vt:lpstr>Commodities</vt:lpstr>
      <vt:lpstr>Lookups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2019-04-10T10:39:45Z</dcterms:modified>
</cp:coreProperties>
</file>